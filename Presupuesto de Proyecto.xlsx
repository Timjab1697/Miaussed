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3da50615b756409/Documents/2026-1/gestion/"/>
    </mc:Choice>
  </mc:AlternateContent>
  <xr:revisionPtr revIDLastSave="4" documentId="14_{FA0EB55D-50D2-49D1-AB97-575AE8A93877}" xr6:coauthVersionLast="47" xr6:coauthVersionMax="47" xr10:uidLastSave="{D8850976-6CC5-4A49-AA71-7AF18066B0BF}"/>
  <bookViews>
    <workbookView xWindow="-120" yWindow="-120" windowWidth="29040" windowHeight="15840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proyecto'!$B$1:$S$28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" i="6" l="1"/>
  <c r="M14" i="6"/>
  <c r="R10" i="6"/>
  <c r="S10" i="6" s="1"/>
  <c r="R11" i="6"/>
  <c r="S11" i="6" s="1"/>
  <c r="R12" i="6"/>
  <c r="S12" i="6" s="1"/>
  <c r="N14" i="6"/>
  <c r="O14" i="6"/>
  <c r="R7" i="6"/>
  <c r="S7" i="6" s="1"/>
  <c r="P14" i="6"/>
  <c r="S28" i="6"/>
  <c r="Q14" i="6"/>
  <c r="Q28" i="6"/>
  <c r="J19" i="6"/>
  <c r="J20" i="6"/>
  <c r="J21" i="6"/>
  <c r="J22" i="6"/>
  <c r="J23" i="6"/>
  <c r="J24" i="6"/>
  <c r="J25" i="6"/>
  <c r="J26" i="6"/>
  <c r="J27" i="6"/>
  <c r="J28" i="6"/>
  <c r="M19" i="6"/>
  <c r="M20" i="6"/>
  <c r="M21" i="6"/>
  <c r="M22" i="6"/>
  <c r="M23" i="6"/>
  <c r="M24" i="6"/>
  <c r="M25" i="6"/>
  <c r="M26" i="6"/>
  <c r="M27" i="6"/>
  <c r="M28" i="6"/>
  <c r="N28" i="6"/>
  <c r="O28" i="6"/>
  <c r="P28" i="6"/>
  <c r="R28" i="6"/>
  <c r="R27" i="6"/>
  <c r="S27" i="6"/>
  <c r="R26" i="6"/>
  <c r="S26" i="6"/>
  <c r="R25" i="6"/>
  <c r="S25" i="6"/>
  <c r="R24" i="6"/>
  <c r="S24" i="6"/>
  <c r="R23" i="6"/>
  <c r="S23" i="6"/>
  <c r="R22" i="6"/>
  <c r="S22" i="6"/>
  <c r="R21" i="6"/>
  <c r="S21" i="6"/>
  <c r="R20" i="6"/>
  <c r="S20" i="6"/>
  <c r="R19" i="6"/>
  <c r="S19" i="6"/>
  <c r="R13" i="6"/>
  <c r="S13" i="6" s="1"/>
  <c r="R9" i="6"/>
  <c r="S9" i="6" s="1"/>
  <c r="R8" i="6"/>
  <c r="S8" i="6" s="1"/>
  <c r="R6" i="6"/>
  <c r="S6" i="6" s="1"/>
  <c r="R5" i="6"/>
  <c r="S5" i="6" s="1"/>
  <c r="R14" i="6" l="1"/>
  <c r="S14" i="6" s="1"/>
</calcChain>
</file>

<file path=xl/sharedStrings.xml><?xml version="1.0" encoding="utf-8"?>
<sst xmlns="http://schemas.openxmlformats.org/spreadsheetml/2006/main" count="113" uniqueCount="53">
  <si>
    <t>Task</t>
  </si>
  <si>
    <t>SUBTOTAL</t>
  </si>
  <si>
    <t>PROJECT 1</t>
  </si>
  <si>
    <t>No</t>
  </si>
  <si>
    <t>PROJECT 2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</si>
  <si>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</si>
  <si>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</si>
  <si>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</si>
  <si>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</si>
  <si>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</si>
  <si>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</si>
  <si>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</si>
  <si>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</si>
  <si>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</si>
  <si>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</si>
  <si>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</si>
  <si>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</si>
  <si>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</si>
  <si>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</si>
  <si>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</si>
  <si>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</si>
  <si>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</si>
  <si>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</si>
  <si>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</si>
  <si>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</si>
  <si>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</si>
  <si>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</si>
  <si>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</si>
  <si>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</si>
  <si>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</si>
  <si>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</si>
  <si>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</si>
  <si>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</si>
  <si>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</si>
  <si>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</si>
  <si>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</si>
  <si>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</si>
  <si>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</si>
  <si>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</si>
  <si>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</si>
  <si>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</si>
  <si>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</si>
  <si>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</si>
  <si>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Planificación del proyecto</t>
  </si>
  <si>
    <t>Diseño educativo del juego</t>
  </si>
  <si>
    <t>Desarrollo minijuego Arrays</t>
  </si>
  <si>
    <t>Desarrollo minijuego Variables</t>
  </si>
  <si>
    <t>Desarrollo minijuego Código</t>
  </si>
  <si>
    <t>Desarrollo minijuego Algoritmos</t>
  </si>
  <si>
    <t>Integración de minijuegos</t>
  </si>
  <si>
    <t>Pruebas y corrección de errores</t>
  </si>
  <si>
    <t>Documentación y presentación</t>
  </si>
  <si>
    <t>integrantes: Mayra Salamanca, Nicolas Melo, Ivan Baquero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</si>
</sst>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  <numFmt numFmtId="171" formatCode="&quot;$&quot;\ #,##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94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169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164" fontId="11" fillId="5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0" fontId="11" fillId="2" borderId="10" xfId="0" applyFont="1" applyFill="1" applyBorder="1" applyAlignment="1">
      <alignment horizontal="center" vertical="center" wrapText="1"/>
    </xf>
    <xf numFmtId="164" fontId="11" fillId="5" borderId="10" xfId="1" applyNumberFormat="1" applyFont="1" applyFill="1" applyBorder="1" applyAlignment="1" applyProtection="1">
      <alignment vertical="center"/>
      <protection locked="0"/>
    </xf>
    <xf numFmtId="0" fontId="11" fillId="2" borderId="8" xfId="0" applyFont="1" applyFill="1" applyBorder="1" applyAlignment="1">
      <alignment horizontal="center" vertical="center" wrapText="1"/>
    </xf>
    <xf numFmtId="168" fontId="12" fillId="5" borderId="8" xfId="0" applyNumberFormat="1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>
      <alignment horizontal="center" vertical="center" wrapText="1"/>
    </xf>
    <xf numFmtId="170" fontId="11" fillId="5" borderId="14" xfId="1" applyNumberFormat="1" applyFont="1" applyFill="1" applyBorder="1" applyAlignment="1" applyProtection="1">
      <alignment vertical="center"/>
      <protection locked="0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70" fontId="11" fillId="5" borderId="15" xfId="1" applyNumberFormat="1" applyFont="1" applyFill="1" applyBorder="1" applyAlignment="1" applyProtection="1">
      <alignment vertical="center"/>
    </xf>
    <xf numFmtId="0" fontId="17" fillId="3" borderId="16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169" fontId="11" fillId="5" borderId="18" xfId="0" applyNumberFormat="1" applyFont="1" applyFill="1" applyBorder="1" applyAlignment="1">
      <alignment horizontal="left" vertical="center" wrapText="1" indent="1"/>
    </xf>
    <xf numFmtId="169" fontId="5" fillId="4" borderId="1" xfId="0" applyNumberFormat="1" applyFont="1" applyFill="1" applyBorder="1" applyAlignment="1">
      <alignment horizontal="left" vertical="center" wrapText="1" indent="1"/>
    </xf>
    <xf numFmtId="169" fontId="5" fillId="4" borderId="18" xfId="0" applyNumberFormat="1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9" fontId="5" fillId="0" borderId="18" xfId="0" applyNumberFormat="1" applyFont="1" applyBorder="1" applyAlignment="1" applyProtection="1">
      <alignment horizontal="left" vertical="center" wrapText="1" indent="1"/>
      <protection locked="0"/>
    </xf>
    <xf numFmtId="168" fontId="4" fillId="0" borderId="8" xfId="0" applyNumberFormat="1" applyFont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0" xfId="1" applyNumberFormat="1" applyFont="1" applyFill="1" applyBorder="1" applyAlignment="1" applyProtection="1">
      <alignment vertical="center"/>
      <protection locked="0"/>
    </xf>
    <xf numFmtId="170" fontId="5" fillId="0" borderId="15" xfId="1" applyNumberFormat="1" applyFont="1" applyFill="1" applyBorder="1" applyAlignment="1" applyProtection="1">
      <alignment vertical="center"/>
    </xf>
    <xf numFmtId="170" fontId="4" fillId="6" borderId="14" xfId="1" applyNumberFormat="1" applyFont="1" applyFill="1" applyBorder="1" applyAlignment="1" applyProtection="1">
      <alignment horizontal="left" vertical="center"/>
      <protection locked="0"/>
    </xf>
    <xf numFmtId="170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14" fontId="0" fillId="0" borderId="19" xfId="0" applyNumberFormat="1" applyBorder="1" applyAlignment="1">
      <alignment vertical="center" wrapText="1"/>
    </xf>
    <xf numFmtId="169" fontId="5" fillId="4" borderId="20" xfId="0" applyNumberFormat="1" applyFont="1" applyFill="1" applyBorder="1" applyAlignment="1">
      <alignment horizontal="left" vertical="center" wrapText="1" indent="1"/>
    </xf>
    <xf numFmtId="169" fontId="11" fillId="5" borderId="2" xfId="0" applyNumberFormat="1" applyFont="1" applyFill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5" fillId="3" borderId="0" xfId="0" applyFont="1" applyFill="1" applyBorder="1" applyAlignment="1">
      <alignment horizontal="left" vertical="center" wrapText="1" indent="1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171" fontId="0" fillId="0" borderId="19" xfId="0" applyNumberFormat="1" applyBorder="1" applyAlignment="1">
      <alignment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</cellXfs>
  <cellStyles count="8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Moneda" xfId="1" builtinId="4"/>
    <cellStyle name="Normal" xfId="0" builtinId="0"/>
    <cellStyle name="Normal 2" xfId="7" xr:uid="{096755C3-0BB5-E94E-8E6C-945830891248}"/>
  </cellStyles>
  <dxfs count="4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17"/>
  <sheetViews>
    <sheetView showGridLines="0" tabSelected="1" zoomScale="85" zoomScaleNormal="85" workbookViewId="0">
      <selection activeCell="H2" sqref="H2:J2"/>
    </sheetView>
  </sheetViews>
  <sheetFormatPr baseColWidth="10" defaultColWidth="11" defaultRowHeight="13.5" x14ac:dyDescent="0.25"/>
  <cols>
    <col min="1" max="1" width="3.125" style="5" customWidth="1"/>
    <col min="2" max="2" width="13.875" style="5" customWidth="1"/>
    <col min="3" max="3" width="20.875" style="5" customWidth="1"/>
    <col min="4" max="4" width="12.875" style="5" customWidth="1"/>
    <col min="5" max="7" width="11.625" style="5" customWidth="1"/>
    <col min="8" max="8" width="8.875" style="5" customWidth="1"/>
    <col min="9" max="9" width="10" style="5" customWidth="1"/>
    <col min="10" max="10" width="11.875" style="5" customWidth="1"/>
    <col min="11" max="11" width="8.875" style="5" customWidth="1"/>
    <col min="12" max="12" width="10" style="5" customWidth="1"/>
    <col min="13" max="14" width="11.875" style="5" customWidth="1"/>
    <col min="15" max="15" width="14.5" style="5" bestFit="1" customWidth="1"/>
    <col min="16" max="16" width="11.875" style="5" customWidth="1"/>
    <col min="17" max="19" width="12.875" style="5" customWidth="1"/>
    <col min="20" max="20" width="3.125" style="5" customWidth="1"/>
    <col min="21" max="16384" width="11" style="5"/>
  </cols>
  <sheetData>
    <row r="1" spans="1:41" ht="45" customHeight="1" thickBot="1" x14ac:dyDescent="0.3">
      <c r="A1" s="4"/>
      <c r="B1" s="35" t="s">
        <v>5</v>
      </c>
      <c r="C1" s="23"/>
      <c r="D1" s="23"/>
      <c r="E1" s="23"/>
      <c r="F1" s="23" t="s">
        <v>52</v>
      </c>
      <c r="G1" s="23"/>
      <c r="H1" s="23"/>
      <c r="I1" s="23"/>
      <c r="J1" s="23"/>
      <c r="K1" s="23"/>
      <c r="L1" s="23"/>
      <c r="M1" s="23"/>
      <c r="N1" s="23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35.1" customHeight="1" x14ac:dyDescent="0.25">
      <c r="A2" s="9"/>
      <c r="B2" s="41" t="s">
        <v>6</v>
      </c>
      <c r="C2" s="41"/>
      <c r="D2" s="41"/>
      <c r="E2" s="41"/>
      <c r="F2" s="41"/>
      <c r="G2" s="56"/>
      <c r="H2" s="87" t="s">
        <v>7</v>
      </c>
      <c r="I2" s="88"/>
      <c r="J2" s="88"/>
      <c r="K2" s="88" t="s">
        <v>8</v>
      </c>
      <c r="L2" s="88"/>
      <c r="M2" s="88"/>
      <c r="N2" s="89" t="s">
        <v>9</v>
      </c>
      <c r="O2" s="90"/>
      <c r="P2" s="91"/>
      <c r="Q2" s="92" t="s">
        <v>10</v>
      </c>
      <c r="R2" s="90"/>
      <c r="S2" s="93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35.1" customHeight="1" x14ac:dyDescent="0.25">
      <c r="A3" s="9"/>
      <c r="B3" s="36" t="s">
        <v>11</v>
      </c>
      <c r="C3" s="36" t="s">
        <v>12</v>
      </c>
      <c r="D3" s="36" t="s">
        <v>13</v>
      </c>
      <c r="E3" s="19" t="s">
        <v>14</v>
      </c>
      <c r="F3" s="19" t="s">
        <v>15</v>
      </c>
      <c r="G3" s="57" t="s">
        <v>16</v>
      </c>
      <c r="H3" s="49" t="s">
        <v>17</v>
      </c>
      <c r="I3" s="20" t="s">
        <v>18</v>
      </c>
      <c r="J3" s="20" t="s">
        <v>19</v>
      </c>
      <c r="K3" s="19" t="s">
        <v>20</v>
      </c>
      <c r="L3" s="19" t="s">
        <v>21</v>
      </c>
      <c r="M3" s="19" t="s">
        <v>22</v>
      </c>
      <c r="N3" s="19" t="s">
        <v>23</v>
      </c>
      <c r="O3" s="19" t="s">
        <v>24</v>
      </c>
      <c r="P3" s="47" t="s">
        <v>25</v>
      </c>
      <c r="Q3" s="54" t="s">
        <v>26</v>
      </c>
      <c r="R3" s="53" t="s">
        <v>27</v>
      </c>
      <c r="S3" s="51" t="s">
        <v>28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30" customHeight="1" x14ac:dyDescent="0.25">
      <c r="A4" s="9"/>
      <c r="B4" s="37" t="s">
        <v>2</v>
      </c>
      <c r="C4" s="37"/>
      <c r="D4" s="37"/>
      <c r="E4" s="59"/>
      <c r="F4" s="79"/>
      <c r="G4" s="60"/>
      <c r="H4" s="61"/>
      <c r="I4" s="62"/>
      <c r="J4" s="62"/>
      <c r="K4" s="62"/>
      <c r="L4" s="62"/>
      <c r="M4" s="62"/>
      <c r="N4" s="62"/>
      <c r="O4" s="62"/>
      <c r="P4" s="63"/>
      <c r="Q4" s="64"/>
      <c r="R4" s="65"/>
      <c r="S4" s="65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30" customHeight="1" x14ac:dyDescent="0.25">
      <c r="A5" s="9"/>
      <c r="B5" s="38" t="s">
        <v>0</v>
      </c>
      <c r="C5" s="76" t="s">
        <v>43</v>
      </c>
      <c r="D5" s="16" t="s">
        <v>34</v>
      </c>
      <c r="E5" s="78">
        <v>46113</v>
      </c>
      <c r="F5" s="81"/>
      <c r="G5" s="78">
        <v>46117</v>
      </c>
      <c r="H5" s="77">
        <v>20</v>
      </c>
      <c r="I5" s="86">
        <v>15000</v>
      </c>
      <c r="J5" s="86">
        <v>300000</v>
      </c>
      <c r="K5" s="77">
        <v>0</v>
      </c>
      <c r="L5" s="77">
        <v>0</v>
      </c>
      <c r="M5" s="77">
        <v>0</v>
      </c>
      <c r="N5" s="77">
        <v>0</v>
      </c>
      <c r="O5" s="86">
        <v>3700000</v>
      </c>
      <c r="P5" s="77">
        <v>0</v>
      </c>
      <c r="Q5" s="70"/>
      <c r="R5" s="86">
        <f>J5+M5+N5+O5+P5</f>
        <v>4000000</v>
      </c>
      <c r="S5" s="52">
        <f t="shared" ref="S5:S13" si="0">R5-Q5</f>
        <v>4000000</v>
      </c>
      <c r="T5" s="9"/>
      <c r="U5" s="9"/>
      <c r="V5" s="82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9"/>
      <c r="AM5" s="9"/>
      <c r="AN5" s="9"/>
      <c r="AO5" s="9"/>
    </row>
    <row r="6" spans="1:41" s="10" customFormat="1" ht="30" customHeight="1" x14ac:dyDescent="0.25">
      <c r="A6" s="9"/>
      <c r="B6" s="38" t="s">
        <v>0</v>
      </c>
      <c r="C6" s="76" t="s">
        <v>44</v>
      </c>
      <c r="D6" s="16" t="s">
        <v>34</v>
      </c>
      <c r="E6" s="78">
        <v>46118</v>
      </c>
      <c r="F6" s="81"/>
      <c r="G6" s="78">
        <v>46122</v>
      </c>
      <c r="H6" s="77">
        <v>25</v>
      </c>
      <c r="I6" s="86">
        <v>15000</v>
      </c>
      <c r="J6" s="86">
        <v>375000</v>
      </c>
      <c r="K6" s="77">
        <v>0</v>
      </c>
      <c r="L6" s="77">
        <v>0</v>
      </c>
      <c r="M6" s="77">
        <v>0</v>
      </c>
      <c r="N6" s="77">
        <v>0</v>
      </c>
      <c r="O6" s="86">
        <v>3700000</v>
      </c>
      <c r="P6" s="77">
        <v>0</v>
      </c>
      <c r="Q6" s="70"/>
      <c r="R6" s="86">
        <f t="shared" ref="R6:R13" si="1">J6+M6+N6+O6+P6</f>
        <v>4075000</v>
      </c>
      <c r="S6" s="52">
        <f t="shared" si="0"/>
        <v>4075000</v>
      </c>
      <c r="T6" s="9"/>
      <c r="U6" s="9"/>
      <c r="V6" s="82"/>
      <c r="W6" s="84"/>
      <c r="X6" s="84"/>
      <c r="Y6" s="84"/>
      <c r="Z6" s="85"/>
      <c r="AA6" s="85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9"/>
      <c r="AM6" s="9"/>
      <c r="AN6" s="9"/>
      <c r="AO6" s="9"/>
    </row>
    <row r="7" spans="1:41" s="10" customFormat="1" ht="30" customHeight="1" x14ac:dyDescent="0.25">
      <c r="A7" s="9"/>
      <c r="B7" s="38" t="s">
        <v>0</v>
      </c>
      <c r="C7" s="76" t="s">
        <v>45</v>
      </c>
      <c r="D7" s="16" t="s">
        <v>34</v>
      </c>
      <c r="E7" s="78">
        <v>46123</v>
      </c>
      <c r="F7" s="81"/>
      <c r="G7" s="78">
        <v>46130</v>
      </c>
      <c r="H7" s="77">
        <v>35</v>
      </c>
      <c r="I7" s="86">
        <v>15000</v>
      </c>
      <c r="J7" s="86">
        <v>525000</v>
      </c>
      <c r="K7" s="77">
        <v>0</v>
      </c>
      <c r="L7" s="77">
        <v>0</v>
      </c>
      <c r="M7" s="77">
        <v>0</v>
      </c>
      <c r="N7" s="77">
        <v>0</v>
      </c>
      <c r="O7" s="86">
        <v>3700000</v>
      </c>
      <c r="P7" s="77">
        <v>0</v>
      </c>
      <c r="Q7" s="70"/>
      <c r="R7" s="86">
        <f t="shared" si="1"/>
        <v>4225000</v>
      </c>
      <c r="S7" s="52">
        <f t="shared" si="0"/>
        <v>4225000</v>
      </c>
      <c r="T7" s="9"/>
      <c r="U7" s="9"/>
      <c r="V7" s="82"/>
      <c r="W7" s="84"/>
      <c r="X7" s="84"/>
      <c r="Y7" s="84"/>
      <c r="Z7" s="85"/>
      <c r="AA7" s="85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9"/>
      <c r="AM7" s="9"/>
      <c r="AN7" s="9"/>
      <c r="AO7" s="9"/>
    </row>
    <row r="8" spans="1:41" s="10" customFormat="1" ht="30" customHeight="1" x14ac:dyDescent="0.25">
      <c r="A8" s="9"/>
      <c r="B8" s="38" t="s">
        <v>0</v>
      </c>
      <c r="C8" s="76" t="s">
        <v>46</v>
      </c>
      <c r="D8" s="16" t="s">
        <v>34</v>
      </c>
      <c r="E8" s="78">
        <v>46131</v>
      </c>
      <c r="F8" s="81"/>
      <c r="G8" s="78">
        <v>46137</v>
      </c>
      <c r="H8" s="77">
        <v>30</v>
      </c>
      <c r="I8" s="86">
        <v>15000</v>
      </c>
      <c r="J8" s="86">
        <v>450000</v>
      </c>
      <c r="K8" s="77">
        <v>0</v>
      </c>
      <c r="L8" s="77">
        <v>0</v>
      </c>
      <c r="M8" s="77">
        <v>0</v>
      </c>
      <c r="N8" s="77">
        <v>0</v>
      </c>
      <c r="O8" s="86">
        <v>3700000</v>
      </c>
      <c r="P8" s="77">
        <v>0</v>
      </c>
      <c r="Q8" s="70"/>
      <c r="R8" s="86">
        <f t="shared" si="1"/>
        <v>4150000</v>
      </c>
      <c r="S8" s="52">
        <f t="shared" si="0"/>
        <v>4150000</v>
      </c>
      <c r="T8" s="9"/>
      <c r="U8" s="9"/>
      <c r="V8" s="82"/>
      <c r="W8" s="84"/>
      <c r="X8" s="84"/>
      <c r="Y8" s="84"/>
      <c r="Z8" s="85"/>
      <c r="AA8" s="85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9"/>
      <c r="AM8" s="9"/>
      <c r="AN8" s="9"/>
      <c r="AO8" s="9"/>
    </row>
    <row r="9" spans="1:41" s="10" customFormat="1" ht="30" customHeight="1" x14ac:dyDescent="0.25">
      <c r="A9" s="9"/>
      <c r="B9" s="38" t="s">
        <v>0</v>
      </c>
      <c r="C9" s="76" t="s">
        <v>47</v>
      </c>
      <c r="D9" s="16" t="s">
        <v>34</v>
      </c>
      <c r="E9" s="78">
        <v>46138</v>
      </c>
      <c r="F9" s="81"/>
      <c r="G9" s="78">
        <v>46144</v>
      </c>
      <c r="H9" s="77">
        <v>30</v>
      </c>
      <c r="I9" s="86">
        <v>15000</v>
      </c>
      <c r="J9" s="86">
        <v>450000</v>
      </c>
      <c r="K9" s="77">
        <v>0</v>
      </c>
      <c r="L9" s="77">
        <v>0</v>
      </c>
      <c r="M9" s="77">
        <v>0</v>
      </c>
      <c r="N9" s="77">
        <v>0</v>
      </c>
      <c r="O9" s="86">
        <v>3700000</v>
      </c>
      <c r="P9" s="77">
        <v>0</v>
      </c>
      <c r="Q9" s="70"/>
      <c r="R9" s="86">
        <f t="shared" si="1"/>
        <v>4150000</v>
      </c>
      <c r="S9" s="52">
        <f t="shared" si="0"/>
        <v>4150000</v>
      </c>
      <c r="T9" s="9"/>
      <c r="U9" s="9"/>
      <c r="V9" s="82"/>
      <c r="W9" s="84"/>
      <c r="X9" s="84"/>
      <c r="Y9" s="84"/>
      <c r="Z9" s="85"/>
      <c r="AA9" s="85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9"/>
      <c r="AM9" s="9"/>
      <c r="AN9" s="9"/>
      <c r="AO9" s="9"/>
    </row>
    <row r="10" spans="1:41" s="10" customFormat="1" ht="30" customHeight="1" x14ac:dyDescent="0.25">
      <c r="A10" s="9"/>
      <c r="B10" s="38" t="s">
        <v>0</v>
      </c>
      <c r="C10" s="76" t="s">
        <v>48</v>
      </c>
      <c r="D10" s="16" t="s">
        <v>34</v>
      </c>
      <c r="E10" s="78">
        <v>46145</v>
      </c>
      <c r="F10" s="81"/>
      <c r="G10" s="78">
        <v>46152</v>
      </c>
      <c r="H10" s="77">
        <v>35</v>
      </c>
      <c r="I10" s="86">
        <v>15000</v>
      </c>
      <c r="J10" s="86">
        <v>525000</v>
      </c>
      <c r="K10" s="77">
        <v>0</v>
      </c>
      <c r="L10" s="77">
        <v>0</v>
      </c>
      <c r="M10" s="77">
        <v>0</v>
      </c>
      <c r="N10" s="77">
        <v>0</v>
      </c>
      <c r="O10" s="86">
        <v>3700000</v>
      </c>
      <c r="P10" s="77">
        <v>0</v>
      </c>
      <c r="Q10" s="70"/>
      <c r="R10" s="86">
        <f t="shared" si="1"/>
        <v>4225000</v>
      </c>
      <c r="S10" s="52">
        <f t="shared" si="0"/>
        <v>4225000</v>
      </c>
      <c r="T10" s="9"/>
      <c r="U10" s="9"/>
      <c r="V10" s="82"/>
      <c r="W10" s="84"/>
      <c r="X10" s="84"/>
      <c r="Y10" s="84"/>
      <c r="Z10" s="85"/>
      <c r="AA10" s="85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9"/>
      <c r="AM10" s="9"/>
      <c r="AN10" s="9"/>
      <c r="AO10" s="9"/>
    </row>
    <row r="11" spans="1:41" s="10" customFormat="1" ht="30" customHeight="1" x14ac:dyDescent="0.25">
      <c r="A11" s="9"/>
      <c r="B11" s="38" t="s">
        <v>0</v>
      </c>
      <c r="C11" s="76" t="s">
        <v>49</v>
      </c>
      <c r="D11" s="16" t="s">
        <v>34</v>
      </c>
      <c r="E11" s="78">
        <v>46153</v>
      </c>
      <c r="F11" s="81"/>
      <c r="G11" s="78">
        <v>46157</v>
      </c>
      <c r="H11" s="77">
        <v>20</v>
      </c>
      <c r="I11" s="86">
        <v>15000</v>
      </c>
      <c r="J11" s="86">
        <v>300000</v>
      </c>
      <c r="K11" s="77">
        <v>0</v>
      </c>
      <c r="L11" s="77">
        <v>0</v>
      </c>
      <c r="M11" s="77">
        <v>0</v>
      </c>
      <c r="N11" s="77">
        <v>0</v>
      </c>
      <c r="O11" s="86">
        <v>3700000</v>
      </c>
      <c r="P11" s="77">
        <v>0</v>
      </c>
      <c r="Q11" s="70"/>
      <c r="R11" s="86">
        <f t="shared" si="1"/>
        <v>4000000</v>
      </c>
      <c r="S11" s="52">
        <f t="shared" si="0"/>
        <v>4000000</v>
      </c>
      <c r="T11" s="9"/>
      <c r="U11" s="9"/>
      <c r="V11" s="82"/>
      <c r="W11" s="84"/>
      <c r="X11" s="84"/>
      <c r="Y11" s="84"/>
      <c r="Z11" s="85"/>
      <c r="AA11" s="85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9"/>
      <c r="AM11" s="9"/>
      <c r="AN11" s="9"/>
      <c r="AO11" s="9"/>
    </row>
    <row r="12" spans="1:41" s="10" customFormat="1" ht="30" customHeight="1" x14ac:dyDescent="0.25">
      <c r="A12" s="9"/>
      <c r="B12" s="38" t="s">
        <v>0</v>
      </c>
      <c r="C12" s="76" t="s">
        <v>50</v>
      </c>
      <c r="D12" s="16" t="s">
        <v>34</v>
      </c>
      <c r="E12" s="78">
        <v>46158</v>
      </c>
      <c r="F12" s="81"/>
      <c r="G12" s="78">
        <v>46162</v>
      </c>
      <c r="H12" s="77">
        <v>20</v>
      </c>
      <c r="I12" s="86">
        <v>15000</v>
      </c>
      <c r="J12" s="86">
        <v>300000</v>
      </c>
      <c r="K12" s="77">
        <v>0</v>
      </c>
      <c r="L12" s="77">
        <v>0</v>
      </c>
      <c r="M12" s="77">
        <v>0</v>
      </c>
      <c r="N12" s="77">
        <v>0</v>
      </c>
      <c r="O12" s="86">
        <v>3700000</v>
      </c>
      <c r="P12" s="77">
        <v>0</v>
      </c>
      <c r="Q12" s="70"/>
      <c r="R12" s="86">
        <f t="shared" si="1"/>
        <v>4000000</v>
      </c>
      <c r="S12" s="52">
        <f t="shared" si="0"/>
        <v>4000000</v>
      </c>
      <c r="T12" s="9"/>
      <c r="U12" s="9"/>
      <c r="V12" s="82"/>
      <c r="W12" s="84"/>
      <c r="X12" s="84"/>
      <c r="Y12" s="84"/>
      <c r="Z12" s="85"/>
      <c r="AA12" s="85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9"/>
      <c r="AM12" s="9"/>
      <c r="AN12" s="9"/>
      <c r="AO12" s="9"/>
    </row>
    <row r="13" spans="1:41" s="10" customFormat="1" ht="30" customHeight="1" x14ac:dyDescent="0.25">
      <c r="A13" s="9"/>
      <c r="B13" s="38" t="s">
        <v>0</v>
      </c>
      <c r="C13" s="76" t="s">
        <v>51</v>
      </c>
      <c r="D13" s="16" t="s">
        <v>34</v>
      </c>
      <c r="E13" s="78">
        <v>46163</v>
      </c>
      <c r="F13" s="81"/>
      <c r="G13" s="78">
        <v>46167</v>
      </c>
      <c r="H13" s="77">
        <v>15</v>
      </c>
      <c r="I13" s="86">
        <v>15000</v>
      </c>
      <c r="J13" s="86">
        <v>225000</v>
      </c>
      <c r="K13" s="77">
        <v>1</v>
      </c>
      <c r="L13" s="77">
        <v>30000</v>
      </c>
      <c r="M13" s="77">
        <v>30000</v>
      </c>
      <c r="N13" s="77">
        <v>0</v>
      </c>
      <c r="O13" s="86">
        <v>3700000</v>
      </c>
      <c r="P13" s="77">
        <v>0</v>
      </c>
      <c r="Q13" s="70"/>
      <c r="R13" s="86">
        <f t="shared" si="1"/>
        <v>3955000</v>
      </c>
      <c r="S13" s="52">
        <f t="shared" si="0"/>
        <v>3955000</v>
      </c>
      <c r="T13" s="9"/>
      <c r="U13" s="9"/>
      <c r="V13" s="82"/>
      <c r="W13" s="84"/>
      <c r="X13" s="84"/>
      <c r="Y13" s="84"/>
      <c r="Z13" s="85"/>
      <c r="AA13" s="85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9"/>
      <c r="AM13" s="9"/>
      <c r="AN13" s="9"/>
      <c r="AO13" s="9"/>
    </row>
    <row r="14" spans="1:41" s="10" customFormat="1" ht="30" customHeight="1" x14ac:dyDescent="0.25">
      <c r="A14" s="9"/>
      <c r="B14" s="21" t="s">
        <v>1</v>
      </c>
      <c r="C14" s="21"/>
      <c r="D14" s="39"/>
      <c r="E14" s="22"/>
      <c r="F14" s="80"/>
      <c r="G14" s="58"/>
      <c r="H14" s="50"/>
      <c r="I14" s="40"/>
      <c r="J14" s="42">
        <f t="shared" ref="J14" si="2">SUM(J5:J13)</f>
        <v>3450000</v>
      </c>
      <c r="K14" s="42"/>
      <c r="L14" s="42"/>
      <c r="M14" s="42">
        <f>SUM(M5:M13)</f>
        <v>30000</v>
      </c>
      <c r="N14" s="42">
        <f>SUM(N5:N13)</f>
        <v>0</v>
      </c>
      <c r="O14" s="42">
        <f>SUM(O5:O13)</f>
        <v>33300000</v>
      </c>
      <c r="P14" s="48">
        <f>SUM(P5:P13)</f>
        <v>0</v>
      </c>
      <c r="Q14" s="55">
        <f>SUM(Q5:Q13)</f>
        <v>0</v>
      </c>
      <c r="R14" s="52">
        <f>SUM(J14:P14)</f>
        <v>36780000</v>
      </c>
      <c r="S14" s="52">
        <f>R14-Q14</f>
        <v>36780000</v>
      </c>
      <c r="T14" s="9"/>
      <c r="U14" s="9"/>
      <c r="V14" s="82"/>
      <c r="W14" s="84"/>
      <c r="X14" s="84"/>
      <c r="Y14" s="84"/>
      <c r="Z14" s="85"/>
      <c r="AA14" s="85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9"/>
      <c r="AM14" s="9"/>
      <c r="AN14" s="9"/>
      <c r="AO14" s="9"/>
    </row>
    <row r="15" spans="1:41" s="10" customFormat="1" ht="11.1" customHeight="1" thickBot="1" x14ac:dyDescent="0.3">
      <c r="A15" s="9"/>
      <c r="B15" s="11"/>
      <c r="C15" s="11"/>
      <c r="D15" s="11"/>
      <c r="E15" s="11"/>
      <c r="F15" s="11"/>
      <c r="G15" s="11"/>
      <c r="H15" s="12"/>
      <c r="I15" s="13"/>
      <c r="J15" s="13"/>
      <c r="K15" s="12"/>
      <c r="L15" s="13"/>
      <c r="M15" s="13"/>
      <c r="N15" s="12"/>
      <c r="O15" s="12"/>
      <c r="P15" s="13"/>
      <c r="Q15" s="14"/>
      <c r="R15" s="13"/>
      <c r="S15" s="15"/>
      <c r="T15" s="9"/>
      <c r="U15" s="9"/>
      <c r="V15" s="82"/>
      <c r="W15" s="84"/>
      <c r="X15" s="84"/>
      <c r="Y15" s="84"/>
      <c r="Z15" s="85"/>
      <c r="AA15" s="85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9"/>
      <c r="AM15" s="9"/>
      <c r="AN15" s="9"/>
      <c r="AO15" s="9"/>
    </row>
    <row r="16" spans="1:41" s="10" customFormat="1" ht="35.1" customHeight="1" x14ac:dyDescent="0.25">
      <c r="A16" s="9"/>
      <c r="B16" s="41" t="s">
        <v>6</v>
      </c>
      <c r="C16" s="41"/>
      <c r="D16" s="41"/>
      <c r="E16" s="41"/>
      <c r="F16" s="41"/>
      <c r="G16" s="56"/>
      <c r="H16" s="87" t="s">
        <v>7</v>
      </c>
      <c r="I16" s="88"/>
      <c r="J16" s="88"/>
      <c r="K16" s="88" t="s">
        <v>8</v>
      </c>
      <c r="L16" s="88"/>
      <c r="M16" s="88"/>
      <c r="N16" s="89" t="s">
        <v>9</v>
      </c>
      <c r="O16" s="90"/>
      <c r="P16" s="91"/>
      <c r="Q16" s="92" t="s">
        <v>10</v>
      </c>
      <c r="R16" s="90"/>
      <c r="S16" s="93"/>
      <c r="T16" s="9"/>
      <c r="U16" s="9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9"/>
      <c r="AM16" s="9"/>
      <c r="AN16" s="9"/>
      <c r="AO16" s="9"/>
    </row>
    <row r="17" spans="1:41" s="10" customFormat="1" ht="35.1" customHeight="1" x14ac:dyDescent="0.25">
      <c r="A17" s="9"/>
      <c r="B17" s="36" t="s">
        <v>11</v>
      </c>
      <c r="C17" s="36" t="s">
        <v>12</v>
      </c>
      <c r="D17" s="36" t="s">
        <v>13</v>
      </c>
      <c r="E17" s="19" t="s">
        <v>14</v>
      </c>
      <c r="F17" s="19" t="s">
        <v>15</v>
      </c>
      <c r="G17" s="57" t="s">
        <v>16</v>
      </c>
      <c r="H17" s="49" t="s">
        <v>17</v>
      </c>
      <c r="I17" s="20" t="s">
        <v>18</v>
      </c>
      <c r="J17" s="20" t="s">
        <v>19</v>
      </c>
      <c r="K17" s="19" t="s">
        <v>20</v>
      </c>
      <c r="L17" s="19" t="s">
        <v>21</v>
      </c>
      <c r="M17" s="19" t="s">
        <v>22</v>
      </c>
      <c r="N17" s="19" t="s">
        <v>23</v>
      </c>
      <c r="O17" s="19" t="s">
        <v>24</v>
      </c>
      <c r="P17" s="47" t="s">
        <v>25</v>
      </c>
      <c r="Q17" s="54" t="s">
        <v>26</v>
      </c>
      <c r="R17" s="53" t="s">
        <v>27</v>
      </c>
      <c r="S17" s="51" t="s">
        <v>28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30" customHeight="1" x14ac:dyDescent="0.25">
      <c r="A18" s="9"/>
      <c r="B18" s="37" t="s">
        <v>4</v>
      </c>
      <c r="C18" s="37"/>
      <c r="D18" s="37"/>
      <c r="E18" s="59"/>
      <c r="F18" s="59"/>
      <c r="G18" s="60"/>
      <c r="H18" s="61"/>
      <c r="I18" s="62"/>
      <c r="J18" s="62"/>
      <c r="K18" s="62"/>
      <c r="L18" s="62"/>
      <c r="M18" s="62"/>
      <c r="N18" s="62"/>
      <c r="O18" s="62"/>
      <c r="P18" s="63"/>
      <c r="Q18" s="64"/>
      <c r="R18" s="65"/>
      <c r="S18" s="65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30" customHeight="1" x14ac:dyDescent="0.25">
      <c r="A19" s="9"/>
      <c r="B19" s="38" t="s">
        <v>0</v>
      </c>
      <c r="C19" s="38"/>
      <c r="D19" s="16" t="s">
        <v>34</v>
      </c>
      <c r="E19" s="43"/>
      <c r="F19" s="43"/>
      <c r="G19" s="66"/>
      <c r="H19" s="67"/>
      <c r="I19" s="45"/>
      <c r="J19" s="68">
        <f>H19*I19</f>
        <v>0</v>
      </c>
      <c r="K19" s="44"/>
      <c r="L19" s="45"/>
      <c r="M19" s="68">
        <f>K19*L19</f>
        <v>0</v>
      </c>
      <c r="N19" s="46"/>
      <c r="O19" s="46"/>
      <c r="P19" s="69"/>
      <c r="Q19" s="70"/>
      <c r="R19" s="71">
        <f>J19+M19+N19+O19+P19</f>
        <v>0</v>
      </c>
      <c r="S19" s="72">
        <f t="shared" ref="S19:S27" si="3">R19-Q19</f>
        <v>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30" customHeight="1" x14ac:dyDescent="0.25">
      <c r="A20" s="9"/>
      <c r="B20" s="38" t="s">
        <v>0</v>
      </c>
      <c r="C20" s="38"/>
      <c r="D20" s="16" t="s">
        <v>34</v>
      </c>
      <c r="E20" s="43"/>
      <c r="F20" s="43"/>
      <c r="G20" s="66"/>
      <c r="H20" s="67"/>
      <c r="I20" s="45"/>
      <c r="J20" s="68">
        <f t="shared" ref="J20:J27" si="4">H20*I20</f>
        <v>0</v>
      </c>
      <c r="K20" s="44"/>
      <c r="L20" s="45"/>
      <c r="M20" s="68">
        <f t="shared" ref="M20:M27" si="5">K20*L20</f>
        <v>0</v>
      </c>
      <c r="N20" s="46"/>
      <c r="O20" s="46"/>
      <c r="P20" s="69"/>
      <c r="Q20" s="70"/>
      <c r="R20" s="71">
        <f t="shared" ref="R20:R27" si="6">J20+M20+N20+O20+P20</f>
        <v>0</v>
      </c>
      <c r="S20" s="72">
        <f t="shared" si="3"/>
        <v>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30" customHeight="1" x14ac:dyDescent="0.25">
      <c r="A21" s="9"/>
      <c r="B21" s="38" t="s">
        <v>0</v>
      </c>
      <c r="C21" s="38"/>
      <c r="D21" s="16" t="s">
        <v>34</v>
      </c>
      <c r="E21" s="43"/>
      <c r="F21" s="43"/>
      <c r="G21" s="66"/>
      <c r="H21" s="67"/>
      <c r="I21" s="45"/>
      <c r="J21" s="68">
        <f t="shared" si="4"/>
        <v>0</v>
      </c>
      <c r="K21" s="44"/>
      <c r="L21" s="45"/>
      <c r="M21" s="68">
        <f t="shared" si="5"/>
        <v>0</v>
      </c>
      <c r="N21" s="46"/>
      <c r="O21" s="46"/>
      <c r="P21" s="69"/>
      <c r="Q21" s="70"/>
      <c r="R21" s="71">
        <f t="shared" si="6"/>
        <v>0</v>
      </c>
      <c r="S21" s="72">
        <f t="shared" si="3"/>
        <v>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30" customHeight="1" x14ac:dyDescent="0.25">
      <c r="A22" s="9"/>
      <c r="B22" s="38" t="s">
        <v>0</v>
      </c>
      <c r="C22" s="38"/>
      <c r="D22" s="16" t="s">
        <v>34</v>
      </c>
      <c r="E22" s="43"/>
      <c r="F22" s="43"/>
      <c r="G22" s="66"/>
      <c r="H22" s="67"/>
      <c r="I22" s="45"/>
      <c r="J22" s="68">
        <f t="shared" si="4"/>
        <v>0</v>
      </c>
      <c r="K22" s="44"/>
      <c r="L22" s="45"/>
      <c r="M22" s="68">
        <f t="shared" si="5"/>
        <v>0</v>
      </c>
      <c r="N22" s="46"/>
      <c r="O22" s="46"/>
      <c r="P22" s="69"/>
      <c r="Q22" s="70"/>
      <c r="R22" s="71">
        <f t="shared" si="6"/>
        <v>0</v>
      </c>
      <c r="S22" s="72">
        <f t="shared" si="3"/>
        <v>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30" customHeight="1" x14ac:dyDescent="0.25">
      <c r="A23" s="9"/>
      <c r="B23" s="38" t="s">
        <v>0</v>
      </c>
      <c r="C23" s="38"/>
      <c r="D23" s="16" t="s">
        <v>34</v>
      </c>
      <c r="E23" s="43"/>
      <c r="F23" s="43"/>
      <c r="G23" s="66"/>
      <c r="H23" s="67"/>
      <c r="I23" s="45"/>
      <c r="J23" s="68">
        <f t="shared" si="4"/>
        <v>0</v>
      </c>
      <c r="K23" s="44"/>
      <c r="L23" s="45"/>
      <c r="M23" s="68">
        <f t="shared" si="5"/>
        <v>0</v>
      </c>
      <c r="N23" s="46"/>
      <c r="O23" s="46"/>
      <c r="P23" s="69"/>
      <c r="Q23" s="70"/>
      <c r="R23" s="71">
        <f t="shared" si="6"/>
        <v>0</v>
      </c>
      <c r="S23" s="72">
        <f t="shared" si="3"/>
        <v>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30" customHeight="1" x14ac:dyDescent="0.25">
      <c r="A24" s="9"/>
      <c r="B24" s="38" t="s">
        <v>0</v>
      </c>
      <c r="C24" s="38"/>
      <c r="D24" s="16" t="s">
        <v>34</v>
      </c>
      <c r="E24" s="43"/>
      <c r="F24" s="43"/>
      <c r="G24" s="66"/>
      <c r="H24" s="67"/>
      <c r="I24" s="45"/>
      <c r="J24" s="68">
        <f t="shared" si="4"/>
        <v>0</v>
      </c>
      <c r="K24" s="44"/>
      <c r="L24" s="45"/>
      <c r="M24" s="68">
        <f t="shared" si="5"/>
        <v>0</v>
      </c>
      <c r="N24" s="46"/>
      <c r="O24" s="46"/>
      <c r="P24" s="69"/>
      <c r="Q24" s="70"/>
      <c r="R24" s="71">
        <f t="shared" si="6"/>
        <v>0</v>
      </c>
      <c r="S24" s="72">
        <f t="shared" si="3"/>
        <v>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30" customHeight="1" x14ac:dyDescent="0.25">
      <c r="A25" s="9"/>
      <c r="B25" s="38" t="s">
        <v>0</v>
      </c>
      <c r="C25" s="38"/>
      <c r="D25" s="16" t="s">
        <v>34</v>
      </c>
      <c r="E25" s="43"/>
      <c r="F25" s="43"/>
      <c r="G25" s="66"/>
      <c r="H25" s="67"/>
      <c r="I25" s="45"/>
      <c r="J25" s="68">
        <f t="shared" si="4"/>
        <v>0</v>
      </c>
      <c r="K25" s="44"/>
      <c r="L25" s="45"/>
      <c r="M25" s="68">
        <f t="shared" si="5"/>
        <v>0</v>
      </c>
      <c r="N25" s="46"/>
      <c r="O25" s="46"/>
      <c r="P25" s="69"/>
      <c r="Q25" s="70"/>
      <c r="R25" s="71">
        <f t="shared" si="6"/>
        <v>0</v>
      </c>
      <c r="S25" s="72">
        <f t="shared" si="3"/>
        <v>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30" customHeight="1" x14ac:dyDescent="0.25">
      <c r="A26" s="9"/>
      <c r="B26" s="38" t="s">
        <v>0</v>
      </c>
      <c r="C26" s="38"/>
      <c r="D26" s="16" t="s">
        <v>34</v>
      </c>
      <c r="E26" s="43"/>
      <c r="F26" s="43"/>
      <c r="G26" s="66"/>
      <c r="H26" s="67"/>
      <c r="I26" s="45"/>
      <c r="J26" s="68">
        <f t="shared" si="4"/>
        <v>0</v>
      </c>
      <c r="K26" s="44"/>
      <c r="L26" s="45"/>
      <c r="M26" s="68">
        <f t="shared" si="5"/>
        <v>0</v>
      </c>
      <c r="N26" s="46"/>
      <c r="O26" s="46"/>
      <c r="P26" s="69"/>
      <c r="Q26" s="70"/>
      <c r="R26" s="71">
        <f t="shared" si="6"/>
        <v>0</v>
      </c>
      <c r="S26" s="72">
        <f t="shared" si="3"/>
        <v>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30" customHeight="1" x14ac:dyDescent="0.25">
      <c r="A27" s="9"/>
      <c r="B27" s="38" t="s">
        <v>0</v>
      </c>
      <c r="C27" s="38"/>
      <c r="D27" s="16" t="s">
        <v>34</v>
      </c>
      <c r="E27" s="43"/>
      <c r="F27" s="43"/>
      <c r="G27" s="66"/>
      <c r="H27" s="67"/>
      <c r="I27" s="45"/>
      <c r="J27" s="68">
        <f t="shared" si="4"/>
        <v>0</v>
      </c>
      <c r="K27" s="44"/>
      <c r="L27" s="45"/>
      <c r="M27" s="68">
        <f t="shared" si="5"/>
        <v>0</v>
      </c>
      <c r="N27" s="46"/>
      <c r="O27" s="46"/>
      <c r="P27" s="69"/>
      <c r="Q27" s="70"/>
      <c r="R27" s="71">
        <f t="shared" si="6"/>
        <v>0</v>
      </c>
      <c r="S27" s="72">
        <f t="shared" si="3"/>
        <v>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30" customHeight="1" x14ac:dyDescent="0.25">
      <c r="A28" s="9"/>
      <c r="B28" s="21" t="s">
        <v>1</v>
      </c>
      <c r="C28" s="21"/>
      <c r="D28" s="39"/>
      <c r="E28" s="22"/>
      <c r="F28" s="22"/>
      <c r="G28" s="58"/>
      <c r="H28" s="50"/>
      <c r="I28" s="40"/>
      <c r="J28" s="42">
        <f t="shared" ref="J28" si="7">SUM(J19:J27)</f>
        <v>0</v>
      </c>
      <c r="K28" s="42"/>
      <c r="L28" s="42"/>
      <c r="M28" s="42">
        <f>SUM(M19:M27)</f>
        <v>0</v>
      </c>
      <c r="N28" s="42">
        <f>SUM(N19:N27)</f>
        <v>0</v>
      </c>
      <c r="O28" s="42">
        <f>SUM(O19:O27)</f>
        <v>0</v>
      </c>
      <c r="P28" s="48">
        <f>SUM(P19:P27)</f>
        <v>0</v>
      </c>
      <c r="Q28" s="55">
        <f>SUM(Q19:Q27)</f>
        <v>0</v>
      </c>
      <c r="R28" s="52">
        <f>SUM(J28:P28)</f>
        <v>0</v>
      </c>
      <c r="S28" s="52">
        <f>R28-Q28</f>
        <v>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4" customFormat="1" ht="21" customHeight="1" x14ac:dyDescent="0.25">
      <c r="B29" s="6"/>
      <c r="C29" s="6"/>
      <c r="D29" s="6"/>
      <c r="E29" s="6"/>
      <c r="F29" s="6"/>
      <c r="G29" s="6"/>
      <c r="H29" s="1"/>
      <c r="I29" s="2"/>
      <c r="J29" s="2"/>
      <c r="K29" s="1"/>
      <c r="L29" s="2"/>
      <c r="M29" s="2"/>
      <c r="N29" s="1"/>
      <c r="O29" s="1"/>
      <c r="P29" s="2"/>
      <c r="Q29" s="7"/>
      <c r="R29" s="2"/>
      <c r="S29" s="3"/>
    </row>
    <row r="30" spans="1:4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4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4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</sheetData>
  <mergeCells count="8">
    <mergeCell ref="H2:J2"/>
    <mergeCell ref="K2:M2"/>
    <mergeCell ref="N2:P2"/>
    <mergeCell ref="Q2:S2"/>
    <mergeCell ref="H16:J16"/>
    <mergeCell ref="K16:M16"/>
    <mergeCell ref="N16:P16"/>
    <mergeCell ref="Q16:S16"/>
  </mergeCells>
  <conditionalFormatting sqref="D4:D13">
    <cfRule type="containsText" dxfId="43" priority="26" operator="containsText" text="Approved">
      <formula>NOT(ISERROR(SEARCH("Approved",D4)))</formula>
    </cfRule>
    <cfRule type="containsText" dxfId="42" priority="27" operator="containsText" text="Needs Review">
      <formula>NOT(ISERROR(SEARCH("Needs Review",D4)))</formula>
    </cfRule>
    <cfRule type="containsText" dxfId="41" priority="28" operator="containsText" text="Not Started">
      <formula>NOT(ISERROR(SEARCH("Not Started",D4)))</formula>
    </cfRule>
    <cfRule type="containsText" dxfId="40" priority="29" operator="containsText" text="On Hold">
      <formula>NOT(ISERROR(SEARCH("On Hold",D4)))</formula>
    </cfRule>
    <cfRule type="containsText" dxfId="39" priority="30" operator="containsText" text="Overdue">
      <formula>NOT(ISERROR(SEARCH("Overdue",D4)))</formula>
    </cfRule>
    <cfRule type="containsText" dxfId="38" priority="31" operator="containsText" text="Complete">
      <formula>NOT(ISERROR(SEARCH("Complete",D4)))</formula>
    </cfRule>
    <cfRule type="containsText" dxfId="37" priority="32" operator="containsText" text="In Progress">
      <formula>NOT(ISERROR(SEARCH("In Progress",D4)))</formula>
    </cfRule>
  </conditionalFormatting>
  <conditionalFormatting sqref="D5:D13">
    <cfRule type="cellIs" dxfId="36" priority="18" operator="equal">
      <formula>"No Iniciado"</formula>
    </cfRule>
    <cfRule type="cellIs" dxfId="35" priority="19" operator="equal">
      <formula>"Aprobado"</formula>
    </cfRule>
    <cfRule type="cellIs" dxfId="34" priority="20" operator="equal">
      <formula>"En Espera"</formula>
    </cfRule>
    <cfRule type="cellIs" dxfId="33" priority="21" operator="equal">
      <formula>"Atrasado"</formula>
    </cfRule>
    <cfRule type="cellIs" dxfId="32" priority="22" operator="equal">
      <formula>"Aprovado"</formula>
    </cfRule>
    <cfRule type="cellIs" dxfId="31" priority="23" operator="equal">
      <formula>"Requiere Revisión"</formula>
    </cfRule>
    <cfRule type="cellIs" dxfId="30" priority="24" operator="equal">
      <formula>"En Progreso"</formula>
    </cfRule>
    <cfRule type="cellIs" dxfId="29" priority="25" operator="equal">
      <formula>"Completo"</formula>
    </cfRule>
  </conditionalFormatting>
  <conditionalFormatting sqref="D18:D27">
    <cfRule type="containsText" dxfId="28" priority="11" operator="containsText" text="Approved">
      <formula>NOT(ISERROR(SEARCH("Approved",D18)))</formula>
    </cfRule>
    <cfRule type="containsText" dxfId="27" priority="12" operator="containsText" text="Needs Review">
      <formula>NOT(ISERROR(SEARCH("Needs Review",D18)))</formula>
    </cfRule>
    <cfRule type="containsText" dxfId="26" priority="13" operator="containsText" text="Not Started">
      <formula>NOT(ISERROR(SEARCH("Not Started",D18)))</formula>
    </cfRule>
    <cfRule type="containsText" dxfId="25" priority="14" operator="containsText" text="On Hold">
      <formula>NOT(ISERROR(SEARCH("On Hold",D18)))</formula>
    </cfRule>
    <cfRule type="containsText" dxfId="24" priority="15" operator="containsText" text="Overdue">
      <formula>NOT(ISERROR(SEARCH("Overdue",D18)))</formula>
    </cfRule>
    <cfRule type="containsText" dxfId="23" priority="16" operator="containsText" text="Complete">
      <formula>NOT(ISERROR(SEARCH("Complete",D18)))</formula>
    </cfRule>
    <cfRule type="containsText" dxfId="22" priority="17" operator="containsText" text="In Progress">
      <formula>NOT(ISERROR(SEARCH("In Progress",D18)))</formula>
    </cfRule>
  </conditionalFormatting>
  <conditionalFormatting sqref="D19:D27">
    <cfRule type="cellIs" dxfId="21" priority="3" operator="equal">
      <formula>"No Iniciado"</formula>
    </cfRule>
    <cfRule type="cellIs" dxfId="20" priority="4" operator="equal">
      <formula>"Aprobado"</formula>
    </cfRule>
    <cfRule type="cellIs" dxfId="19" priority="5" operator="equal">
      <formula>"En Espera"</formula>
    </cfRule>
    <cfRule type="cellIs" dxfId="18" priority="6" operator="equal">
      <formula>"Atrasado"</formula>
    </cfRule>
    <cfRule type="cellIs" dxfId="17" priority="7" operator="equal">
      <formula>"Aprovado"</formula>
    </cfRule>
    <cfRule type="cellIs" dxfId="16" priority="8" operator="equal">
      <formula>"Requiere Revisión"</formula>
    </cfRule>
    <cfRule type="cellIs" dxfId="15" priority="9" operator="equal">
      <formula>"En Progreso"</formula>
    </cfRule>
    <cfRule type="cellIs" dxfId="14" priority="10" operator="equal">
      <formula>"Completo"</formula>
    </cfRule>
  </conditionalFormatting>
  <conditionalFormatting sqref="S14 S19:S28">
    <cfRule type="cellIs" dxfId="13" priority="46" operator="lessThan">
      <formula>0</formula>
    </cfRule>
    <cfRule type="cellIs" dxfId="12" priority="47" operator="greaterThan">
      <formula>0</formula>
    </cfRule>
  </conditionalFormatting>
  <conditionalFormatting sqref="S1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D4:D13 D18:D27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baseColWidth="10" defaultRowHeight="15.75" x14ac:dyDescent="0.25"/>
  <cols>
    <col min="1" max="1" width="3.375" style="10" customWidth="1"/>
    <col min="2" max="2" width="10.875" style="10"/>
    <col min="3" max="3" width="3.375" style="10" customWidth="1"/>
    <col min="5" max="5" width="3.375" style="10" customWidth="1"/>
    <col min="6" max="6" width="12.875" customWidth="1"/>
    <col min="7" max="7" width="3.375" style="10" customWidth="1"/>
  </cols>
  <sheetData>
    <row r="1" spans="1:32" s="10" customFormat="1" ht="42" customHeight="1" thickBot="1" x14ac:dyDescent="0.3">
      <c r="B1" s="34" t="s">
        <v>41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5" customHeight="1" thickTop="1" x14ac:dyDescent="0.25">
      <c r="A2" s="9"/>
      <c r="B2" s="33" t="s">
        <v>29</v>
      </c>
      <c r="C2" s="9"/>
      <c r="D2" s="33" t="s">
        <v>42</v>
      </c>
      <c r="E2" s="9"/>
      <c r="F2" s="33" t="s">
        <v>13</v>
      </c>
      <c r="G2" s="9"/>
    </row>
    <row r="3" spans="1:32" ht="35.1" customHeight="1" x14ac:dyDescent="0.25">
      <c r="A3" s="9"/>
      <c r="B3" s="32" t="s">
        <v>30</v>
      </c>
      <c r="C3" s="9"/>
      <c r="D3" s="31" t="s">
        <v>31</v>
      </c>
      <c r="E3" s="9"/>
      <c r="F3" s="73" t="s">
        <v>34</v>
      </c>
      <c r="G3" s="9"/>
    </row>
    <row r="4" spans="1:32" ht="35.1" customHeight="1" x14ac:dyDescent="0.25">
      <c r="A4" s="9"/>
      <c r="B4" s="30" t="s">
        <v>3</v>
      </c>
      <c r="C4" s="9"/>
      <c r="D4" s="29" t="s">
        <v>32</v>
      </c>
      <c r="E4" s="9"/>
      <c r="F4" s="74" t="s">
        <v>35</v>
      </c>
      <c r="G4" s="9"/>
    </row>
    <row r="5" spans="1:32" ht="35.1" customHeight="1" x14ac:dyDescent="0.25">
      <c r="A5" s="9"/>
      <c r="C5" s="9"/>
      <c r="D5" s="28" t="s">
        <v>33</v>
      </c>
      <c r="E5" s="9"/>
      <c r="F5" s="75" t="s">
        <v>36</v>
      </c>
      <c r="G5" s="9"/>
    </row>
    <row r="6" spans="1:32" ht="35.1" customHeight="1" x14ac:dyDescent="0.3">
      <c r="A6" s="9"/>
      <c r="C6" s="9"/>
      <c r="D6" s="24"/>
      <c r="E6" s="9"/>
      <c r="F6" s="27" t="s">
        <v>39</v>
      </c>
      <c r="G6" s="9"/>
    </row>
    <row r="7" spans="1:32" ht="35.1" customHeight="1" x14ac:dyDescent="0.3">
      <c r="A7" s="9"/>
      <c r="C7" s="9"/>
      <c r="D7" s="24"/>
      <c r="E7" s="9"/>
      <c r="F7" s="26" t="s">
        <v>37</v>
      </c>
      <c r="G7" s="9"/>
    </row>
    <row r="8" spans="1:32" ht="35.1" customHeight="1" x14ac:dyDescent="0.25">
      <c r="A8" s="9"/>
      <c r="C8" s="9"/>
      <c r="E8" s="9"/>
      <c r="F8" s="18" t="s">
        <v>38</v>
      </c>
      <c r="G8" s="9"/>
    </row>
    <row r="9" spans="1:32" ht="35.1" customHeight="1" x14ac:dyDescent="0.25">
      <c r="A9" s="9"/>
      <c r="B9" s="9"/>
      <c r="C9" s="9"/>
      <c r="E9" s="9"/>
      <c r="F9" s="25" t="s">
        <v>40</v>
      </c>
      <c r="G9" s="9"/>
    </row>
    <row r="10" spans="1:32" ht="35.1" customHeight="1" x14ac:dyDescent="0.3">
      <c r="A10" s="9"/>
      <c r="B10" s="9"/>
      <c r="C10" s="9"/>
      <c r="D10" s="24"/>
      <c r="E10" s="9"/>
      <c r="F10" s="17"/>
      <c r="G10" s="9"/>
    </row>
    <row r="11" spans="1:32" ht="35.1" customHeight="1" x14ac:dyDescent="0.3">
      <c r="A11" s="9"/>
      <c r="B11" s="9"/>
      <c r="C11" s="9"/>
      <c r="D11" s="24"/>
      <c r="E11" s="9"/>
      <c r="F11" s="17"/>
      <c r="G11" s="9"/>
    </row>
    <row r="12" spans="1:32" ht="16.5" x14ac:dyDescent="0.3">
      <c r="A12" s="9"/>
      <c r="B12" s="9"/>
      <c r="C12" s="9"/>
      <c r="D12" s="24"/>
      <c r="E12" s="9"/>
      <c r="F12" s="24"/>
      <c r="G12" s="9"/>
    </row>
    <row r="13" spans="1:32" ht="16.5" x14ac:dyDescent="0.3">
      <c r="A13" s="9"/>
      <c r="B13" s="9"/>
      <c r="C13" s="9"/>
      <c r="D13" s="24"/>
      <c r="E13" s="9"/>
      <c r="F13" s="24"/>
      <c r="G13" s="9"/>
    </row>
    <row r="14" spans="1:32" ht="16.5" x14ac:dyDescent="0.3">
      <c r="A14" s="9"/>
      <c r="B14" s="9"/>
      <c r="C14" s="9"/>
      <c r="D14" s="24"/>
      <c r="E14" s="9"/>
      <c r="F14" s="24"/>
      <c r="G14" s="9"/>
    </row>
    <row r="15" spans="1:32" ht="16.5" x14ac:dyDescent="0.3">
      <c r="A15" s="9"/>
      <c r="B15" s="9"/>
      <c r="C15" s="9"/>
      <c r="D15" s="24"/>
      <c r="E15" s="9"/>
      <c r="F15" s="24"/>
      <c r="G15" s="9"/>
    </row>
    <row r="16" spans="1:32" ht="16.5" x14ac:dyDescent="0.3">
      <c r="A16" s="9"/>
      <c r="B16" s="9"/>
      <c r="C16" s="9"/>
      <c r="D16" s="24"/>
      <c r="E16" s="9"/>
      <c r="F16" s="24"/>
      <c r="G16" s="9"/>
    </row>
    <row r="17" spans="1:7" ht="16.5" x14ac:dyDescent="0.3">
      <c r="A17" s="9"/>
      <c r="B17" s="9"/>
      <c r="C17" s="9"/>
      <c r="D17" s="24"/>
      <c r="E17" s="9"/>
      <c r="G17" s="9"/>
    </row>
    <row r="18" spans="1:7" ht="16.5" x14ac:dyDescent="0.3">
      <c r="A18" s="9"/>
      <c r="B18" s="9"/>
      <c r="C18" s="9"/>
      <c r="D18" s="24"/>
      <c r="E18" s="9"/>
      <c r="G18" s="9"/>
    </row>
    <row r="19" spans="1:7" ht="16.5" x14ac:dyDescent="0.3">
      <c r="A19" s="9"/>
      <c r="B19" s="9"/>
      <c r="C19" s="9"/>
      <c r="D19" s="24"/>
      <c r="E19" s="9"/>
      <c r="G19" s="9"/>
    </row>
    <row r="20" spans="1:7" ht="16.5" x14ac:dyDescent="0.3">
      <c r="A20" s="9"/>
      <c r="B20" s="9"/>
      <c r="C20" s="9"/>
      <c r="D20" s="24"/>
      <c r="E20" s="9"/>
      <c r="G20" s="9"/>
    </row>
    <row r="21" spans="1:7" ht="16.5" x14ac:dyDescent="0.3">
      <c r="A21" s="9"/>
      <c r="B21" s="9"/>
      <c r="C21" s="9"/>
      <c r="D21" s="24"/>
      <c r="E21" s="9"/>
      <c r="G21" s="9"/>
    </row>
    <row r="22" spans="1:7" ht="16.5" x14ac:dyDescent="0.3">
      <c r="A22" s="9"/>
      <c r="B22" s="9"/>
      <c r="C22" s="9"/>
      <c r="D22" s="24"/>
      <c r="E22" s="9"/>
      <c r="G22" s="9"/>
    </row>
    <row r="23" spans="1:7" ht="16.5" x14ac:dyDescent="0.3">
      <c r="A23" s="9"/>
      <c r="B23" s="9"/>
      <c r="C23" s="9"/>
      <c r="D23" s="24"/>
      <c r="E23" s="9"/>
      <c r="G23" s="9"/>
    </row>
    <row r="24" spans="1:7" ht="16.5" x14ac:dyDescent="0.3">
      <c r="A24" s="9"/>
      <c r="B24" s="9"/>
      <c r="C24" s="9"/>
      <c r="D24" s="24"/>
      <c r="E24" s="9"/>
      <c r="G24" s="9"/>
    </row>
    <row r="25" spans="1:7" ht="16.5" x14ac:dyDescent="0.3">
      <c r="A25" s="9"/>
      <c r="B25" s="9"/>
      <c r="C25" s="9"/>
      <c r="D25" s="24"/>
      <c r="E25" s="9"/>
      <c r="G25" s="9"/>
    </row>
    <row r="26" spans="1:7" ht="16.5" x14ac:dyDescent="0.3">
      <c r="A26" s="9"/>
      <c r="B26" s="9"/>
      <c r="C26" s="9"/>
      <c r="D26" s="24"/>
      <c r="E26" s="9"/>
      <c r="G26" s="9"/>
    </row>
    <row r="27" spans="1:7" ht="16.5" x14ac:dyDescent="0.3">
      <c r="A27" s="9"/>
      <c r="B27" s="9"/>
      <c r="C27" s="9"/>
      <c r="D27" s="24"/>
      <c r="E27" s="9"/>
      <c r="G27" s="9"/>
    </row>
    <row r="28" spans="1:7" ht="16.5" x14ac:dyDescent="0.3">
      <c r="A28" s="9"/>
      <c r="B28" s="9"/>
      <c r="C28" s="9"/>
      <c r="D28" s="24"/>
      <c r="E28" s="9"/>
      <c r="G28" s="9"/>
    </row>
    <row r="29" spans="1:7" ht="16.5" x14ac:dyDescent="0.3">
      <c r="A29" s="9"/>
      <c r="B29" s="9"/>
      <c r="C29" s="9"/>
      <c r="D29" s="24"/>
      <c r="E29" s="9"/>
      <c r="G29" s="9"/>
    </row>
    <row r="30" spans="1:7" ht="16.5" x14ac:dyDescent="0.3">
      <c r="A30" s="9"/>
      <c r="B30" s="9"/>
      <c r="C30" s="9"/>
      <c r="D30" s="24"/>
      <c r="E30" s="9"/>
      <c r="G30" s="9"/>
    </row>
    <row r="31" spans="1:7" ht="16.5" x14ac:dyDescent="0.3">
      <c r="A31" s="9"/>
      <c r="B31" s="9"/>
      <c r="C31" s="9"/>
      <c r="D31" s="24"/>
      <c r="E31" s="9"/>
      <c r="G31" s="9"/>
    </row>
    <row r="32" spans="1:7" ht="16.5" x14ac:dyDescent="0.3">
      <c r="A32"/>
      <c r="B32"/>
      <c r="C32"/>
      <c r="D32" s="24"/>
      <c r="E32"/>
      <c r="G32"/>
    </row>
    <row r="33" spans="1:7" x14ac:dyDescent="0.25">
      <c r="A33" s="9"/>
      <c r="B33" s="9"/>
      <c r="C33" s="9"/>
      <c r="E33" s="9"/>
      <c r="G33" s="9"/>
    </row>
    <row r="34" spans="1:7" x14ac:dyDescent="0.25">
      <c r="A34" s="9"/>
      <c r="B34" s="9"/>
      <c r="C34" s="9"/>
      <c r="E34" s="9"/>
      <c r="G34" s="9"/>
    </row>
    <row r="35" spans="1:7" x14ac:dyDescent="0.25">
      <c r="A35" s="9"/>
      <c r="B35" s="9"/>
      <c r="C35" s="9"/>
      <c r="E35" s="9"/>
      <c r="G35" s="9"/>
    </row>
    <row r="36" spans="1:7" x14ac:dyDescent="0.25">
      <c r="A36" s="9"/>
      <c r="B36" s="9"/>
      <c r="C36" s="9"/>
      <c r="E36" s="9"/>
      <c r="G36" s="9"/>
    </row>
    <row r="37" spans="1:7" x14ac:dyDescent="0.25">
      <c r="A37" s="9"/>
      <c r="B37" s="9"/>
      <c r="C37" s="9"/>
      <c r="E37" s="9"/>
      <c r="G37" s="9"/>
    </row>
    <row r="38" spans="1:7" x14ac:dyDescent="0.25">
      <c r="A38" s="9"/>
      <c r="B38" s="9"/>
      <c r="C38" s="9"/>
      <c r="E38" s="9"/>
      <c r="G38" s="9"/>
    </row>
    <row r="39" spans="1:7" x14ac:dyDescent="0.25">
      <c r="A39" s="9"/>
      <c r="B39" s="9"/>
      <c r="C39" s="9"/>
      <c r="E39" s="9"/>
      <c r="G39" s="9"/>
    </row>
    <row r="40" spans="1:7" x14ac:dyDescent="0.25">
      <c r="A40" s="9"/>
      <c r="B40" s="9"/>
      <c r="C40" s="9"/>
      <c r="E40" s="9"/>
      <c r="G40" s="9"/>
    </row>
    <row r="41" spans="1:7" x14ac:dyDescent="0.25">
      <c r="A41" s="9"/>
      <c r="B41" s="9"/>
      <c r="C41" s="9"/>
      <c r="E41" s="9"/>
      <c r="G41" s="9"/>
    </row>
    <row r="42" spans="1:7" x14ac:dyDescent="0.25">
      <c r="A42" s="9"/>
      <c r="B42" s="9"/>
      <c r="C42" s="9"/>
      <c r="E42" s="9"/>
      <c r="G42" s="9"/>
    </row>
    <row r="43" spans="1:7" x14ac:dyDescent="0.25">
      <c r="A43" s="9"/>
      <c r="B43" s="9"/>
      <c r="C43" s="9"/>
      <c r="E43" s="9"/>
      <c r="G43" s="9"/>
    </row>
    <row r="44" spans="1:7" x14ac:dyDescent="0.25">
      <c r="A44" s="9"/>
      <c r="B44" s="9"/>
      <c r="C44" s="9"/>
      <c r="E44" s="9"/>
      <c r="G44" s="9"/>
    </row>
    <row r="45" spans="1:7" x14ac:dyDescent="0.25">
      <c r="A45" s="9"/>
      <c r="B45" s="9"/>
      <c r="C45" s="9"/>
      <c r="E45" s="9"/>
      <c r="G45" s="9"/>
    </row>
    <row r="46" spans="1:7" x14ac:dyDescent="0.25">
      <c r="A46" s="9"/>
      <c r="B46" s="9"/>
      <c r="C46" s="9"/>
      <c r="E46" s="9"/>
      <c r="G46" s="9"/>
    </row>
    <row r="47" spans="1:7" x14ac:dyDescent="0.25">
      <c r="A47" s="9"/>
      <c r="B47" s="9"/>
      <c r="C47" s="9"/>
      <c r="E47" s="9"/>
      <c r="G47" s="9"/>
    </row>
    <row r="48" spans="1:7" x14ac:dyDescent="0.25">
      <c r="A48" s="9"/>
      <c r="B48" s="9"/>
      <c r="C48" s="9"/>
      <c r="E48" s="9"/>
      <c r="G48" s="9"/>
    </row>
    <row r="49" spans="1:7" x14ac:dyDescent="0.25">
      <c r="A49" s="9"/>
      <c r="B49" s="9"/>
      <c r="C49" s="9"/>
      <c r="E49" s="9"/>
      <c r="G49" s="9"/>
    </row>
    <row r="50" spans="1:7" x14ac:dyDescent="0.25">
      <c r="A50" s="9"/>
      <c r="B50" s="9"/>
      <c r="C50" s="9"/>
      <c r="E50" s="9"/>
      <c r="G50" s="9"/>
    </row>
    <row r="51" spans="1:7" x14ac:dyDescent="0.25">
      <c r="A51" s="9"/>
      <c r="B51" s="9"/>
      <c r="C51" s="9"/>
      <c r="E51" s="9"/>
      <c r="G51" s="9"/>
    </row>
    <row r="52" spans="1:7" x14ac:dyDescent="0.25">
      <c r="A52" s="9"/>
      <c r="B52" s="9"/>
      <c r="C52" s="9"/>
      <c r="E52" s="9"/>
      <c r="G52" s="9"/>
    </row>
    <row r="53" spans="1:7" x14ac:dyDescent="0.25">
      <c r="A53" s="9"/>
      <c r="B53" s="9"/>
      <c r="C53" s="9"/>
      <c r="E53" s="9"/>
      <c r="G53" s="9"/>
    </row>
    <row r="54" spans="1:7" x14ac:dyDescent="0.25">
      <c r="A54" s="9"/>
      <c r="B54" s="9"/>
      <c r="C54" s="9"/>
      <c r="E54" s="9"/>
      <c r="G54" s="9"/>
    </row>
    <row r="55" spans="1:7" x14ac:dyDescent="0.25">
      <c r="A55" s="9"/>
      <c r="B55" s="9"/>
      <c r="C55" s="9"/>
      <c r="E55" s="9"/>
      <c r="G55" s="9"/>
    </row>
    <row r="56" spans="1:7" x14ac:dyDescent="0.25">
      <c r="A56" s="9"/>
      <c r="B56" s="9"/>
      <c r="C56" s="9"/>
      <c r="E56" s="9"/>
      <c r="G56" s="9"/>
    </row>
    <row r="57" spans="1:7" x14ac:dyDescent="0.25">
      <c r="A57" s="9"/>
      <c r="B57" s="9"/>
      <c r="C57" s="9"/>
      <c r="E57" s="9"/>
      <c r="G57" s="9"/>
    </row>
    <row r="58" spans="1:7" x14ac:dyDescent="0.25">
      <c r="A58" s="9"/>
      <c r="B58" s="9"/>
      <c r="C58" s="9"/>
      <c r="E58" s="9"/>
      <c r="G58" s="9"/>
    </row>
    <row r="59" spans="1:7" x14ac:dyDescent="0.25">
      <c r="A59" s="9"/>
      <c r="B59" s="9"/>
      <c r="C59" s="9"/>
      <c r="E59" s="9"/>
      <c r="G59" s="9"/>
    </row>
    <row r="60" spans="1:7" x14ac:dyDescent="0.25">
      <c r="A60" s="9"/>
      <c r="B60" s="9"/>
      <c r="C60" s="9"/>
      <c r="E60" s="9"/>
      <c r="G60" s="9"/>
    </row>
    <row r="61" spans="1:7" x14ac:dyDescent="0.25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Ivan Baquero</cp:lastModifiedBy>
  <cp:lastPrinted>2022-01-31T23:51:04Z</cp:lastPrinted>
  <dcterms:created xsi:type="dcterms:W3CDTF">2015-08-28T20:34:30Z</dcterms:created>
  <dcterms:modified xsi:type="dcterms:W3CDTF">2026-03-14T12:46:51Z</dcterms:modified>
</cp:coreProperties>
</file>