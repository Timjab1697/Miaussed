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salas\Downloads\"/>
    </mc:Choice>
  </mc:AlternateContent>
  <xr:revisionPtr revIDLastSave="0" documentId="13_ncr:1_{76B2F51E-6300-4BD5-813C-42E3B09B222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resupuesto del proyecto" sheetId="6" r:id="rId1"/>
    <sheet name="listas desplegables" sheetId="3" r:id="rId2"/>
  </sheets>
  <externalReferences>
    <externalReference r:id="rId3"/>
    <externalReference r:id="rId4"/>
  </externalReferences>
  <definedNames>
    <definedName name="_xlnm.Print_Area" localSheetId="0">'Presupuesto del proyecto'!$B$1:$S$28</definedName>
    <definedName name="Priority">#REF!</definedName>
    <definedName name="Status">'listas desplegables'!$D$5:$D$7</definedName>
    <definedName name="Type" localSheetId="1">'[1]Risk Assessment &amp; Control'!#REF!</definedName>
    <definedName name="Type">'[2]Maintenance Work Order'!#REF!</definedName>
    <definedName name="YesNo">'listas desplegables'!$B$5:$B$6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S5" i="6" l="1"/>
  <c r="J5" i="6"/>
  <c r="R5" i="6"/>
  <c r="J6" i="6"/>
  <c r="J7" i="6"/>
  <c r="J8" i="6"/>
  <c r="J9" i="6"/>
  <c r="R9" i="6" s="1"/>
  <c r="S9" i="6" s="1"/>
  <c r="J10" i="6"/>
  <c r="J11" i="6"/>
  <c r="J12" i="6"/>
  <c r="H14" i="6"/>
  <c r="J14" i="6"/>
  <c r="M14" i="6"/>
  <c r="R10" i="6"/>
  <c r="S10" i="6" s="1"/>
  <c r="R11" i="6"/>
  <c r="S11" i="6" s="1"/>
  <c r="R12" i="6"/>
  <c r="S12" i="6" s="1"/>
  <c r="N14" i="6"/>
  <c r="O14" i="6"/>
  <c r="R7" i="6"/>
  <c r="S7" i="6" s="1"/>
  <c r="P14" i="6"/>
  <c r="S28" i="6"/>
  <c r="Q14" i="6"/>
  <c r="Q28" i="6"/>
  <c r="J19" i="6"/>
  <c r="J20" i="6"/>
  <c r="J21" i="6"/>
  <c r="J22" i="6"/>
  <c r="J23" i="6"/>
  <c r="J24" i="6"/>
  <c r="J25" i="6"/>
  <c r="J26" i="6"/>
  <c r="J27" i="6"/>
  <c r="J28" i="6"/>
  <c r="M19" i="6"/>
  <c r="M20" i="6"/>
  <c r="M21" i="6"/>
  <c r="M22" i="6"/>
  <c r="M23" i="6"/>
  <c r="M24" i="6"/>
  <c r="M25" i="6"/>
  <c r="M26" i="6"/>
  <c r="M27" i="6"/>
  <c r="M28" i="6"/>
  <c r="N28" i="6"/>
  <c r="O28" i="6"/>
  <c r="P28" i="6"/>
  <c r="R28" i="6"/>
  <c r="R27" i="6"/>
  <c r="S27" i="6"/>
  <c r="R26" i="6"/>
  <c r="S26" i="6"/>
  <c r="R25" i="6"/>
  <c r="S25" i="6"/>
  <c r="R24" i="6"/>
  <c r="S24" i="6"/>
  <c r="R23" i="6"/>
  <c r="S23" i="6"/>
  <c r="R22" i="6"/>
  <c r="S22" i="6"/>
  <c r="R21" i="6"/>
  <c r="S21" i="6"/>
  <c r="R20" i="6"/>
  <c r="S20" i="6"/>
  <c r="R19" i="6"/>
  <c r="S19" i="6"/>
  <c r="R13" i="6"/>
  <c r="S13" i="6" s="1"/>
  <c r="R8" i="6"/>
  <c r="S8" i="6" s="1"/>
  <c r="R6" i="6"/>
  <c r="S6" i="6" s="1"/>
  <c r="R14" i="6" l="1"/>
  <c r="S14" i="6" s="1"/>
</calcChain>
</file>

<file path=xl/sharedStrings.xml><?xml version="1.0" encoding="utf-8"?>
<sst xmlns="http://schemas.openxmlformats.org/spreadsheetml/2006/main" count="113" uniqueCount="53">
  <si>
    <t>Task</t>
  </si>
  <si>
    <t>SUBTOTAL</t>
  </si>
  <si>
    <t>PROJECT 1</t>
  </si>
  <si>
    <t>No</t>
  </si>
  <si>
    <t>PROJECT 2</t>
  </si>
  <si>
    <t>Presupuesto de Proyecto</t>
  </si>
  <si>
    <t>El usuario debe completar solo las celdas no sombreadas.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</si>
  <si>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</si>
  <si>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</si>
  <si>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</si>
  <si>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</si>
  <si>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</si>
  <si>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</si>
  <si>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</si>
  <si>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</si>
  <si>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</si>
  <si>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</si>
  <si>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</si>
  <si>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</si>
  <si>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</si>
  <si>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</si>
  <si>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</si>
  <si>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</si>
  <si>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</si>
  <si>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</si>
  <si>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</si>
  <si>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</si>
  <si>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</si>
  <si>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</si>
  <si>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SI / NO</t>
  </si>
  <si>
    <t>Si</t>
  </si>
  <si>
    <t>Baja</t>
  </si>
  <si>
    <t>Media</t>
  </si>
  <si>
    <t>Alta</t>
  </si>
  <si>
    <t>No Iniciado</t>
  </si>
  <si>
    <t>En Progreso</t>
  </si>
  <si>
    <t>Completo</t>
  </si>
  <si>
    <t>Aprobado</t>
  </si>
  <si>
    <t>Atrasado</t>
  </si>
  <si>
    <t>Requiere Revisión</t>
  </si>
  <si>
    <t>En Espera</t>
  </si>
  <si>
    <t>listas desplegables</t>
  </si>
  <si>
    <t>PRIORIDAD</t>
  </si>
  <si>
    <t>Planificación del proyecto</t>
  </si>
  <si>
    <t>Diseño educativo del juego</t>
  </si>
  <si>
    <t>Desarrollo minijuego Arrays</t>
  </si>
  <si>
    <t>Desarrollo minijuego Variables</t>
  </si>
  <si>
    <t>Desarrollo minijuego Código</t>
  </si>
  <si>
    <t>Desarrollo minijuego Algoritmos</t>
  </si>
  <si>
    <t>Integración de minijuegos</t>
  </si>
  <si>
    <t>Pruebas y corrección de errores</t>
  </si>
  <si>
    <t>Documentación y presentación</t>
  </si>
  <si>
    <t>integrantes: Mayra Salamanca, Nicolas Melo, Ivan Baquero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</si>
</sst>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#,##0_);\(&quot;$&quot;#,##0\)"/>
    <numFmt numFmtId="165" formatCode="&quot;$&quot;#,##0.00_);\(&quot;$&quot;#,##0.0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0.0"/>
    <numFmt numFmtId="169" formatCode="mm/dd/yy;@"/>
    <numFmt numFmtId="170" formatCode="_(&quot;$&quot;* #,##0_);_(&quot;$&quot;* \(#,##0\);_(&quot;$&quot;* &quot;-&quot;??_);_(@_)"/>
    <numFmt numFmtId="171" formatCode="&quot;$&quot;\ #,##0"/>
  </numFmts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0"/>
      <name val="Century Gothic"/>
      <family val="1"/>
    </font>
    <font>
      <sz val="10"/>
      <name val="Century Gothic"/>
      <family val="1"/>
    </font>
    <font>
      <sz val="10"/>
      <color theme="1"/>
      <name val="Century Gothic"/>
      <family val="1"/>
    </font>
    <font>
      <b/>
      <sz val="10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b/>
      <sz val="22"/>
      <color theme="1" tint="0.34998626667073579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2"/>
    </font>
    <font>
      <sz val="10"/>
      <name val="Century Gothic"/>
      <family val="2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sz val="22"/>
      <color theme="1" tint="0.34998626667073579"/>
      <name val="Century Gothic"/>
      <family val="1"/>
    </font>
    <font>
      <b/>
      <sz val="24"/>
      <color theme="1" tint="0.34998626667073579"/>
      <name val="Century Gothic"/>
      <family val="1"/>
    </font>
    <font>
      <sz val="12"/>
      <color theme="1" tint="0.34998626667073579"/>
      <name val="Century Gothic"/>
      <family val="1"/>
    </font>
    <font>
      <b/>
      <sz val="12"/>
      <color theme="1"/>
      <name val="Calibri"/>
      <family val="2"/>
      <scheme val="minor"/>
    </font>
    <font>
      <sz val="10"/>
      <color theme="0"/>
      <name val="Century Gothic"/>
      <family val="2"/>
    </font>
  </fonts>
  <fills count="19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21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double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ashed">
        <color theme="0" tint="-0.34998626667073579"/>
      </right>
      <top/>
      <bottom/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</borders>
  <cellStyleXfs count="8">
    <xf numFmtId="0" fontId="0" fillId="0" borderId="0"/>
    <xf numFmtId="166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</cellStyleXfs>
  <cellXfs count="95">
    <xf numFmtId="0" fontId="0" fillId="0" borderId="0" xfId="0"/>
    <xf numFmtId="168" fontId="4" fillId="3" borderId="0" xfId="0" applyNumberFormat="1" applyFont="1" applyFill="1" applyAlignment="1" applyProtection="1">
      <alignment wrapText="1"/>
      <protection locked="0"/>
    </xf>
    <xf numFmtId="165" fontId="4" fillId="3" borderId="0" xfId="1" applyNumberFormat="1" applyFont="1" applyFill="1" applyBorder="1" applyAlignment="1" applyProtection="1">
      <alignment wrapText="1"/>
      <protection locked="0"/>
    </xf>
    <xf numFmtId="167" fontId="6" fillId="3" borderId="0" xfId="0" applyNumberFormat="1" applyFont="1" applyFill="1" applyAlignment="1" applyProtection="1">
      <alignment horizontal="left" vertical="top" wrapText="1"/>
      <protection locked="0"/>
    </xf>
    <xf numFmtId="0" fontId="5" fillId="3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3" fillId="3" borderId="0" xfId="0" applyFont="1" applyFill="1" applyAlignment="1">
      <alignment horizontal="center" wrapText="1"/>
    </xf>
    <xf numFmtId="167" fontId="4" fillId="3" borderId="0" xfId="1" applyNumberFormat="1" applyFont="1" applyFill="1" applyBorder="1" applyAlignment="1" applyProtection="1">
      <alignment wrapText="1"/>
    </xf>
    <xf numFmtId="0" fontId="7" fillId="3" borderId="0" xfId="0" applyFont="1" applyFill="1" applyAlignment="1">
      <alignment vertical="center"/>
    </xf>
    <xf numFmtId="0" fontId="5" fillId="3" borderId="0" xfId="0" applyFont="1" applyFill="1" applyAlignment="1">
      <alignment horizontal="left" vertical="center" wrapText="1" indent="1"/>
    </xf>
    <xf numFmtId="0" fontId="5" fillId="0" borderId="0" xfId="0" applyFont="1" applyAlignment="1">
      <alignment horizontal="left" vertical="center" wrapText="1" indent="1"/>
    </xf>
    <xf numFmtId="0" fontId="3" fillId="3" borderId="0" xfId="0" applyFont="1" applyFill="1" applyAlignment="1">
      <alignment horizontal="left" vertical="center" wrapText="1" indent="1"/>
    </xf>
    <xf numFmtId="168" fontId="4" fillId="3" borderId="0" xfId="0" applyNumberFormat="1" applyFont="1" applyFill="1" applyAlignment="1" applyProtection="1">
      <alignment horizontal="left" vertical="center" wrapText="1" indent="1"/>
      <protection locked="0"/>
    </xf>
    <xf numFmtId="165" fontId="4" fillId="3" borderId="0" xfId="1" applyNumberFormat="1" applyFont="1" applyFill="1" applyBorder="1" applyAlignment="1" applyProtection="1">
      <alignment horizontal="left" vertical="center" wrapText="1" indent="1"/>
      <protection locked="0"/>
    </xf>
    <xf numFmtId="167" fontId="4" fillId="3" borderId="0" xfId="1" applyNumberFormat="1" applyFont="1" applyFill="1" applyBorder="1" applyAlignment="1" applyProtection="1">
      <alignment horizontal="left" vertical="center" wrapText="1" indent="1"/>
    </xf>
    <xf numFmtId="167" fontId="6" fillId="3" borderId="0" xfId="0" applyNumberFormat="1" applyFont="1" applyFill="1" applyAlignment="1" applyProtection="1">
      <alignment horizontal="left" vertical="center" wrapText="1" indent="1"/>
      <protection locked="0"/>
    </xf>
    <xf numFmtId="0" fontId="5" fillId="3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5" fillId="8" borderId="1" xfId="0" applyFont="1" applyFill="1" applyBorder="1" applyAlignment="1">
      <alignment horizontal="left" vertical="center" wrapText="1" indent="1"/>
    </xf>
    <xf numFmtId="0" fontId="11" fillId="2" borderId="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 indent="1"/>
    </xf>
    <xf numFmtId="169" fontId="11" fillId="5" borderId="1" xfId="0" applyNumberFormat="1" applyFont="1" applyFill="1" applyBorder="1" applyAlignment="1">
      <alignment horizontal="left" vertical="center" wrapText="1" indent="1"/>
    </xf>
    <xf numFmtId="0" fontId="9" fillId="3" borderId="0" xfId="0" applyFont="1" applyFill="1" applyAlignment="1">
      <alignment vertical="center"/>
    </xf>
    <xf numFmtId="0" fontId="13" fillId="0" borderId="0" xfId="0" applyFont="1"/>
    <xf numFmtId="0" fontId="5" fillId="7" borderId="1" xfId="0" applyFont="1" applyFill="1" applyBorder="1" applyAlignment="1">
      <alignment horizontal="left" vertical="center" wrapText="1" indent="1"/>
    </xf>
    <xf numFmtId="0" fontId="5" fillId="10" borderId="1" xfId="0" applyFont="1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left" vertical="center" wrapText="1" indent="1"/>
    </xf>
    <xf numFmtId="0" fontId="10" fillId="12" borderId="1" xfId="0" applyFont="1" applyFill="1" applyBorder="1" applyAlignment="1">
      <alignment horizontal="left" vertical="center" indent="1"/>
    </xf>
    <xf numFmtId="0" fontId="10" fillId="13" borderId="1" xfId="0" applyFont="1" applyFill="1" applyBorder="1" applyAlignment="1">
      <alignment horizontal="left" vertical="center" indent="1"/>
    </xf>
    <xf numFmtId="0" fontId="10" fillId="7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left" vertical="center" indent="1"/>
    </xf>
    <xf numFmtId="0" fontId="10" fillId="15" borderId="1" xfId="0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11" fillId="2" borderId="2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 applyProtection="1">
      <alignment horizontal="left" vertical="center" wrapText="1" indent="1"/>
      <protection locked="0"/>
    </xf>
    <xf numFmtId="0" fontId="3" fillId="5" borderId="1" xfId="0" applyFont="1" applyFill="1" applyBorder="1" applyAlignment="1">
      <alignment horizontal="left" vertical="center" wrapText="1" indent="1"/>
    </xf>
    <xf numFmtId="165" fontId="11" fillId="5" borderId="1" xfId="1" applyNumberFormat="1" applyFont="1" applyFill="1" applyBorder="1" applyAlignment="1" applyProtection="1">
      <alignment vertical="center"/>
      <protection locked="0"/>
    </xf>
    <xf numFmtId="0" fontId="17" fillId="3" borderId="0" xfId="0" applyFont="1" applyFill="1" applyAlignment="1">
      <alignment vertical="center"/>
    </xf>
    <xf numFmtId="164" fontId="11" fillId="5" borderId="1" xfId="0" applyNumberFormat="1" applyFont="1" applyFill="1" applyBorder="1" applyAlignment="1" applyProtection="1">
      <alignment vertical="center"/>
      <protection locked="0"/>
    </xf>
    <xf numFmtId="169" fontId="5" fillId="0" borderId="1" xfId="0" applyNumberFormat="1" applyFont="1" applyBorder="1" applyAlignment="1" applyProtection="1">
      <alignment horizontal="left" vertical="center" wrapText="1" indent="1"/>
      <protection locked="0"/>
    </xf>
    <xf numFmtId="168" fontId="4" fillId="0" borderId="1" xfId="0" applyNumberFormat="1" applyFont="1" applyBorder="1" applyAlignment="1" applyProtection="1">
      <alignment horizontal="center" vertical="center"/>
      <protection locked="0"/>
    </xf>
    <xf numFmtId="165" fontId="4" fillId="0" borderId="1" xfId="1" applyNumberFormat="1" applyFont="1" applyFill="1" applyBorder="1" applyAlignment="1" applyProtection="1">
      <alignment horizontal="right" vertical="center"/>
      <protection locked="0"/>
    </xf>
    <xf numFmtId="164" fontId="4" fillId="0" borderId="1" xfId="0" applyNumberFormat="1" applyFont="1" applyBorder="1" applyAlignment="1" applyProtection="1">
      <alignment horizontal="right" vertical="center"/>
      <protection locked="0"/>
    </xf>
    <xf numFmtId="0" fontId="11" fillId="2" borderId="10" xfId="0" applyFont="1" applyFill="1" applyBorder="1" applyAlignment="1">
      <alignment horizontal="center" vertical="center" wrapText="1"/>
    </xf>
    <xf numFmtId="164" fontId="11" fillId="5" borderId="10" xfId="1" applyNumberFormat="1" applyFont="1" applyFill="1" applyBorder="1" applyAlignment="1" applyProtection="1">
      <alignment vertical="center"/>
      <protection locked="0"/>
    </xf>
    <xf numFmtId="0" fontId="11" fillId="2" borderId="8" xfId="0" applyFont="1" applyFill="1" applyBorder="1" applyAlignment="1">
      <alignment horizontal="center" vertical="center" wrapText="1"/>
    </xf>
    <xf numFmtId="168" fontId="12" fillId="5" borderId="8" xfId="0" applyNumberFormat="1" applyFont="1" applyFill="1" applyBorder="1" applyAlignment="1" applyProtection="1">
      <alignment horizontal="left" vertical="center"/>
      <protection locked="0"/>
    </xf>
    <xf numFmtId="0" fontId="11" fillId="2" borderId="11" xfId="0" applyFont="1" applyFill="1" applyBorder="1" applyAlignment="1">
      <alignment horizontal="center" vertical="center" wrapText="1"/>
    </xf>
    <xf numFmtId="170" fontId="11" fillId="5" borderId="14" xfId="1" applyNumberFormat="1" applyFont="1" applyFill="1" applyBorder="1" applyAlignment="1" applyProtection="1">
      <alignment vertical="center"/>
      <protection locked="0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170" fontId="11" fillId="5" borderId="15" xfId="1" applyNumberFormat="1" applyFont="1" applyFill="1" applyBorder="1" applyAlignment="1" applyProtection="1">
      <alignment vertical="center"/>
    </xf>
    <xf numFmtId="0" fontId="17" fillId="3" borderId="16" xfId="0" applyFont="1" applyFill="1" applyBorder="1" applyAlignment="1">
      <alignment vertical="center"/>
    </xf>
    <xf numFmtId="0" fontId="11" fillId="2" borderId="17" xfId="0" applyFont="1" applyFill="1" applyBorder="1" applyAlignment="1">
      <alignment horizontal="center" vertical="center" wrapText="1"/>
    </xf>
    <xf numFmtId="169" fontId="11" fillId="5" borderId="18" xfId="0" applyNumberFormat="1" applyFont="1" applyFill="1" applyBorder="1" applyAlignment="1">
      <alignment horizontal="left" vertical="center" wrapText="1" indent="1"/>
    </xf>
    <xf numFmtId="169" fontId="5" fillId="4" borderId="1" xfId="0" applyNumberFormat="1" applyFont="1" applyFill="1" applyBorder="1" applyAlignment="1">
      <alignment horizontal="left" vertical="center" wrapText="1" indent="1"/>
    </xf>
    <xf numFmtId="169" fontId="5" fillId="4" borderId="18" xfId="0" applyNumberFormat="1" applyFont="1" applyFill="1" applyBorder="1" applyAlignment="1">
      <alignment horizontal="left" vertical="center" wrapText="1" indent="1"/>
    </xf>
    <xf numFmtId="0" fontId="5" fillId="4" borderId="8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169" fontId="5" fillId="0" borderId="18" xfId="0" applyNumberFormat="1" applyFont="1" applyBorder="1" applyAlignment="1" applyProtection="1">
      <alignment horizontal="left" vertical="center" wrapText="1" indent="1"/>
      <protection locked="0"/>
    </xf>
    <xf numFmtId="168" fontId="4" fillId="0" borderId="8" xfId="0" applyNumberFormat="1" applyFont="1" applyBorder="1" applyAlignment="1" applyProtection="1">
      <alignment horizontal="center" vertical="center"/>
      <protection locked="0"/>
    </xf>
    <xf numFmtId="164" fontId="4" fillId="4" borderId="1" xfId="1" applyNumberFormat="1" applyFont="1" applyFill="1" applyBorder="1" applyAlignment="1" applyProtection="1">
      <alignment horizontal="right" vertical="center"/>
      <protection locked="0"/>
    </xf>
    <xf numFmtId="164" fontId="4" fillId="0" borderId="10" xfId="1" applyNumberFormat="1" applyFont="1" applyFill="1" applyBorder="1" applyAlignment="1" applyProtection="1">
      <alignment vertical="center"/>
      <protection locked="0"/>
    </xf>
    <xf numFmtId="170" fontId="5" fillId="0" borderId="15" xfId="1" applyNumberFormat="1" applyFont="1" applyFill="1" applyBorder="1" applyAlignment="1" applyProtection="1">
      <alignment vertical="center"/>
    </xf>
    <xf numFmtId="170" fontId="4" fillId="6" borderId="14" xfId="1" applyNumberFormat="1" applyFont="1" applyFill="1" applyBorder="1" applyAlignment="1" applyProtection="1">
      <alignment horizontal="left" vertical="center"/>
      <protection locked="0"/>
    </xf>
    <xf numFmtId="170" fontId="5" fillId="7" borderId="14" xfId="1" applyNumberFormat="1" applyFont="1" applyFill="1" applyBorder="1" applyAlignment="1" applyProtection="1">
      <alignment horizontal="left" vertical="center"/>
    </xf>
    <xf numFmtId="0" fontId="5" fillId="16" borderId="1" xfId="0" applyFont="1" applyFill="1" applyBorder="1" applyAlignment="1">
      <alignment horizontal="left" vertical="center" wrapText="1" indent="1"/>
    </xf>
    <xf numFmtId="0" fontId="10" fillId="17" borderId="1" xfId="0" applyFont="1" applyFill="1" applyBorder="1" applyAlignment="1">
      <alignment horizontal="left" vertical="center" wrapText="1" indent="1" readingOrder="1"/>
    </xf>
    <xf numFmtId="0" fontId="10" fillId="18" borderId="1" xfId="0" applyFont="1" applyFill="1" applyBorder="1" applyAlignment="1">
      <alignment horizontal="left" vertical="center" wrapText="1" indent="1" readingOrder="1"/>
    </xf>
    <xf numFmtId="0" fontId="0" fillId="0" borderId="0" xfId="0" applyAlignment="1">
      <alignment vertical="center" wrapText="1"/>
    </xf>
    <xf numFmtId="0" fontId="0" fillId="0" borderId="19" xfId="0" applyBorder="1" applyAlignment="1">
      <alignment vertical="center" wrapText="1"/>
    </xf>
    <xf numFmtId="14" fontId="0" fillId="0" borderId="19" xfId="0" applyNumberFormat="1" applyBorder="1" applyAlignment="1">
      <alignment vertical="center" wrapText="1"/>
    </xf>
    <xf numFmtId="169" fontId="5" fillId="4" borderId="20" xfId="0" applyNumberFormat="1" applyFont="1" applyFill="1" applyBorder="1" applyAlignment="1">
      <alignment horizontal="left" vertical="center" wrapText="1" indent="1"/>
    </xf>
    <xf numFmtId="169" fontId="11" fillId="5" borderId="2" xfId="0" applyNumberFormat="1" applyFont="1" applyFill="1" applyBorder="1" applyAlignment="1">
      <alignment horizontal="left" vertical="center" wrapText="1" indent="1"/>
    </xf>
    <xf numFmtId="0" fontId="5" fillId="0" borderId="19" xfId="0" applyFont="1" applyBorder="1" applyAlignment="1">
      <alignment horizontal="left" vertical="center" wrapText="1" indent="1"/>
    </xf>
    <xf numFmtId="0" fontId="5" fillId="3" borderId="0" xfId="0" applyFont="1" applyFill="1" applyBorder="1" applyAlignment="1">
      <alignment horizontal="left" vertical="center" wrapText="1" indent="1"/>
    </xf>
    <xf numFmtId="0" fontId="18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14" fontId="0" fillId="0" borderId="0" xfId="0" applyNumberFormat="1" applyBorder="1" applyAlignment="1">
      <alignment vertical="center" wrapText="1"/>
    </xf>
    <xf numFmtId="171" fontId="0" fillId="0" borderId="19" xfId="0" applyNumberFormat="1" applyBorder="1" applyAlignment="1">
      <alignment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11" fillId="9" borderId="5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11" fillId="9" borderId="9" xfId="0" applyFont="1" applyFill="1" applyBorder="1" applyAlignment="1">
      <alignment horizontal="center" vertical="center" wrapText="1"/>
    </xf>
    <xf numFmtId="0" fontId="11" fillId="9" borderId="12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168" fontId="19" fillId="5" borderId="8" xfId="0" applyNumberFormat="1" applyFont="1" applyFill="1" applyBorder="1" applyAlignment="1" applyProtection="1">
      <alignment horizontal="center" vertical="center"/>
      <protection locked="0"/>
    </xf>
  </cellXfs>
  <cellStyles count="8">
    <cellStyle name="Hipervínculo visitado" xfId="2" builtinId="9" hidden="1"/>
    <cellStyle name="Hipervínculo visitado" xfId="3" builtinId="9" hidden="1"/>
    <cellStyle name="Hipervínculo visitado" xfId="4" builtinId="9" hidden="1"/>
    <cellStyle name="Hipervínculo visitado" xfId="5" builtinId="9" hidden="1"/>
    <cellStyle name="Hipervínculo visitado" xfId="6" builtinId="9" hidden="1"/>
    <cellStyle name="Moneda" xfId="1" builtinId="4"/>
    <cellStyle name="Normal" xfId="0" builtinId="0"/>
    <cellStyle name="Normal 2" xfId="7" xr:uid="{096755C3-0BB5-E94E-8E6C-945830891248}"/>
  </cellStyles>
  <dxfs count="58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9" defaultPivotStyle="PivotStyleMedium4"/>
  <colors>
    <mruColors>
      <color rgb="FFFFF2CC"/>
      <color rgb="FF5EE9E7"/>
      <color rgb="FFABEFEA"/>
      <color rgb="FF600000"/>
      <color rgb="FF880000"/>
      <color rgb="FFFF927C"/>
      <color rgb="FFFF8B78"/>
      <color rgb="FFE7FFCA"/>
      <color rgb="FFE8EFF9"/>
      <color rgb="FF00B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Risk-Assessment-and-Control-Template25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isk Assessment &amp; Control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A1F2-2597-1742-BA2F-7AF250B49533}">
  <sheetPr>
    <tabColor theme="3" tint="0.59999389629810485"/>
    <pageSetUpPr fitToPage="1"/>
  </sheetPr>
  <dimension ref="A1:AO417"/>
  <sheetViews>
    <sheetView showGridLines="0" tabSelected="1" zoomScale="85" zoomScaleNormal="85" workbookViewId="0">
      <selection activeCell="U6" activeCellId="1" sqref="O5 U6"/>
    </sheetView>
  </sheetViews>
  <sheetFormatPr baseColWidth="10" defaultColWidth="11" defaultRowHeight="13.5" x14ac:dyDescent="0.25"/>
  <cols>
    <col min="1" max="1" width="3.125" style="5" customWidth="1"/>
    <col min="2" max="2" width="13.875" style="5" customWidth="1"/>
    <col min="3" max="3" width="20.875" style="5" customWidth="1"/>
    <col min="4" max="4" width="12.875" style="5" customWidth="1"/>
    <col min="5" max="7" width="11.625" style="5" customWidth="1"/>
    <col min="8" max="8" width="8.875" style="5" customWidth="1"/>
    <col min="9" max="9" width="10" style="5" customWidth="1"/>
    <col min="10" max="10" width="11.875" style="5" customWidth="1"/>
    <col min="11" max="11" width="8.875" style="5" customWidth="1"/>
    <col min="12" max="12" width="10" style="5" customWidth="1"/>
    <col min="13" max="14" width="11.875" style="5" customWidth="1"/>
    <col min="15" max="15" width="14.5" style="5" bestFit="1" customWidth="1"/>
    <col min="16" max="16" width="11.875" style="5" customWidth="1"/>
    <col min="17" max="19" width="12.875" style="5" customWidth="1"/>
    <col min="20" max="20" width="3.125" style="5" customWidth="1"/>
    <col min="21" max="21" width="11" style="5"/>
    <col min="22" max="22" width="12.75" style="5" bestFit="1" customWidth="1"/>
    <col min="23" max="16384" width="11" style="5"/>
  </cols>
  <sheetData>
    <row r="1" spans="1:41" ht="45" customHeight="1" thickBot="1" x14ac:dyDescent="0.3">
      <c r="A1" s="4"/>
      <c r="B1" s="35" t="s">
        <v>5</v>
      </c>
      <c r="C1" s="23"/>
      <c r="D1" s="23"/>
      <c r="E1" s="23"/>
      <c r="F1" s="23" t="s">
        <v>52</v>
      </c>
      <c r="G1" s="23"/>
      <c r="H1" s="23"/>
      <c r="I1" s="23"/>
      <c r="J1" s="23"/>
      <c r="K1" s="23"/>
      <c r="L1" s="23"/>
      <c r="M1" s="23"/>
      <c r="N1" s="23"/>
      <c r="O1" s="8"/>
      <c r="P1" s="8"/>
      <c r="Q1" s="8"/>
      <c r="R1" s="8"/>
      <c r="S1" s="8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s="10" customFormat="1" ht="35.1" customHeight="1" x14ac:dyDescent="0.25">
      <c r="A2" s="9"/>
      <c r="B2" s="41" t="s">
        <v>6</v>
      </c>
      <c r="C2" s="41"/>
      <c r="D2" s="41"/>
      <c r="E2" s="41"/>
      <c r="F2" s="41"/>
      <c r="G2" s="56"/>
      <c r="H2" s="87" t="s">
        <v>7</v>
      </c>
      <c r="I2" s="88"/>
      <c r="J2" s="88"/>
      <c r="K2" s="88" t="s">
        <v>8</v>
      </c>
      <c r="L2" s="88"/>
      <c r="M2" s="88"/>
      <c r="N2" s="89" t="s">
        <v>9</v>
      </c>
      <c r="O2" s="90"/>
      <c r="P2" s="91"/>
      <c r="Q2" s="92" t="s">
        <v>10</v>
      </c>
      <c r="R2" s="90"/>
      <c r="S2" s="93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</row>
    <row r="3" spans="1:41" s="10" customFormat="1" ht="35.1" customHeight="1" x14ac:dyDescent="0.25">
      <c r="A3" s="9"/>
      <c r="B3" s="36" t="s">
        <v>11</v>
      </c>
      <c r="C3" s="36" t="s">
        <v>12</v>
      </c>
      <c r="D3" s="36" t="s">
        <v>13</v>
      </c>
      <c r="E3" s="19" t="s">
        <v>14</v>
      </c>
      <c r="F3" s="19" t="s">
        <v>15</v>
      </c>
      <c r="G3" s="57" t="s">
        <v>16</v>
      </c>
      <c r="H3" s="49" t="s">
        <v>17</v>
      </c>
      <c r="I3" s="20" t="s">
        <v>18</v>
      </c>
      <c r="J3" s="20" t="s">
        <v>19</v>
      </c>
      <c r="K3" s="19" t="s">
        <v>20</v>
      </c>
      <c r="L3" s="19" t="s">
        <v>21</v>
      </c>
      <c r="M3" s="19" t="s">
        <v>22</v>
      </c>
      <c r="N3" s="19" t="s">
        <v>23</v>
      </c>
      <c r="O3" s="19" t="s">
        <v>24</v>
      </c>
      <c r="P3" s="47" t="s">
        <v>25</v>
      </c>
      <c r="Q3" s="54" t="s">
        <v>26</v>
      </c>
      <c r="R3" s="53" t="s">
        <v>27</v>
      </c>
      <c r="S3" s="51" t="s">
        <v>28</v>
      </c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</row>
    <row r="4" spans="1:41" s="10" customFormat="1" ht="30" customHeight="1" x14ac:dyDescent="0.25">
      <c r="A4" s="9"/>
      <c r="B4" s="37" t="s">
        <v>2</v>
      </c>
      <c r="C4" s="37"/>
      <c r="D4" s="37"/>
      <c r="E4" s="59"/>
      <c r="F4" s="79"/>
      <c r="G4" s="60"/>
      <c r="H4" s="61"/>
      <c r="I4" s="62"/>
      <c r="J4" s="62"/>
      <c r="K4" s="62"/>
      <c r="L4" s="62"/>
      <c r="M4" s="62"/>
      <c r="N4" s="62"/>
      <c r="O4" s="62"/>
      <c r="P4" s="63"/>
      <c r="Q4" s="64"/>
      <c r="R4" s="65"/>
      <c r="S4" s="65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</row>
    <row r="5" spans="1:41" s="10" customFormat="1" ht="30" customHeight="1" x14ac:dyDescent="0.25">
      <c r="A5" s="9"/>
      <c r="B5" s="38" t="s">
        <v>0</v>
      </c>
      <c r="C5" s="76" t="s">
        <v>43</v>
      </c>
      <c r="D5" s="75" t="s">
        <v>36</v>
      </c>
      <c r="E5" s="78">
        <v>46113</v>
      </c>
      <c r="F5" s="81"/>
      <c r="G5" s="78">
        <v>46117</v>
      </c>
      <c r="H5" s="77">
        <v>26</v>
      </c>
      <c r="I5" s="86">
        <v>15000</v>
      </c>
      <c r="J5" s="86">
        <f>H5*I5</f>
        <v>390000</v>
      </c>
      <c r="K5" s="77">
        <v>0</v>
      </c>
      <c r="L5" s="77">
        <v>0</v>
      </c>
      <c r="M5" s="77">
        <v>0</v>
      </c>
      <c r="N5" s="77">
        <v>0</v>
      </c>
      <c r="O5" s="86">
        <v>3700000</v>
      </c>
      <c r="P5" s="77">
        <v>0</v>
      </c>
      <c r="Q5" s="70"/>
      <c r="R5" s="86">
        <f>J5+M5+N5+O5+P5</f>
        <v>4090000</v>
      </c>
      <c r="S5" s="52">
        <f>R5-Q5</f>
        <v>4090000</v>
      </c>
      <c r="T5" s="9"/>
      <c r="U5" s="9"/>
      <c r="V5" s="82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83"/>
      <c r="AI5" s="83"/>
      <c r="AJ5" s="83"/>
      <c r="AK5" s="83"/>
      <c r="AL5" s="9"/>
      <c r="AM5" s="9"/>
      <c r="AN5" s="9"/>
      <c r="AO5" s="9"/>
    </row>
    <row r="6" spans="1:41" s="10" customFormat="1" ht="30" customHeight="1" x14ac:dyDescent="0.25">
      <c r="A6" s="9"/>
      <c r="B6" s="38" t="s">
        <v>0</v>
      </c>
      <c r="C6" s="76" t="s">
        <v>44</v>
      </c>
      <c r="D6" s="74" t="s">
        <v>35</v>
      </c>
      <c r="E6" s="78">
        <v>46118</v>
      </c>
      <c r="F6" s="81"/>
      <c r="G6" s="78">
        <v>46122</v>
      </c>
      <c r="H6" s="77">
        <v>24</v>
      </c>
      <c r="I6" s="86">
        <v>15000</v>
      </c>
      <c r="J6" s="86">
        <f t="shared" ref="J6:J12" si="0">H6*I6</f>
        <v>360000</v>
      </c>
      <c r="K6" s="77">
        <v>0</v>
      </c>
      <c r="L6" s="77">
        <v>0</v>
      </c>
      <c r="M6" s="77">
        <v>0</v>
      </c>
      <c r="N6" s="77">
        <v>0</v>
      </c>
      <c r="O6" s="86">
        <v>3700000</v>
      </c>
      <c r="P6" s="77">
        <v>0</v>
      </c>
      <c r="Q6" s="70"/>
      <c r="R6" s="86">
        <f t="shared" ref="R6:R13" si="1">J6+M6+N6+O6+P6</f>
        <v>4060000</v>
      </c>
      <c r="S6" s="52">
        <f t="shared" ref="S5:S13" si="2">R6-Q6</f>
        <v>4060000</v>
      </c>
      <c r="T6" s="9"/>
      <c r="U6" s="9"/>
      <c r="V6" s="82"/>
      <c r="W6" s="84"/>
      <c r="X6" s="84"/>
      <c r="Y6" s="84"/>
      <c r="Z6" s="85"/>
      <c r="AA6" s="85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9"/>
      <c r="AM6" s="9"/>
      <c r="AN6" s="9"/>
      <c r="AO6" s="9"/>
    </row>
    <row r="7" spans="1:41" s="10" customFormat="1" ht="30" customHeight="1" x14ac:dyDescent="0.25">
      <c r="A7" s="9"/>
      <c r="B7" s="38" t="s">
        <v>0</v>
      </c>
      <c r="C7" s="76" t="s">
        <v>45</v>
      </c>
      <c r="D7" s="16" t="s">
        <v>34</v>
      </c>
      <c r="E7" s="78">
        <v>46123</v>
      </c>
      <c r="F7" s="81"/>
      <c r="G7" s="78">
        <v>46130</v>
      </c>
      <c r="H7" s="77">
        <v>14</v>
      </c>
      <c r="I7" s="86">
        <v>15000</v>
      </c>
      <c r="J7" s="86">
        <f t="shared" si="0"/>
        <v>210000</v>
      </c>
      <c r="K7" s="77">
        <v>0</v>
      </c>
      <c r="L7" s="77">
        <v>0</v>
      </c>
      <c r="M7" s="77">
        <v>0</v>
      </c>
      <c r="N7" s="77">
        <v>0</v>
      </c>
      <c r="O7" s="86">
        <v>3700000</v>
      </c>
      <c r="P7" s="77">
        <v>0</v>
      </c>
      <c r="Q7" s="70"/>
      <c r="R7" s="86">
        <f t="shared" si="1"/>
        <v>3910000</v>
      </c>
      <c r="S7" s="52">
        <f t="shared" si="2"/>
        <v>3910000</v>
      </c>
      <c r="T7" s="9"/>
      <c r="U7" s="9"/>
      <c r="V7" s="82"/>
      <c r="W7" s="84"/>
      <c r="X7" s="84"/>
      <c r="Y7" s="84"/>
      <c r="Z7" s="85"/>
      <c r="AA7" s="85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9"/>
      <c r="AM7" s="9"/>
      <c r="AN7" s="9"/>
      <c r="AO7" s="9"/>
    </row>
    <row r="8" spans="1:41" s="10" customFormat="1" ht="30" customHeight="1" x14ac:dyDescent="0.25">
      <c r="A8" s="9"/>
      <c r="B8" s="38" t="s">
        <v>0</v>
      </c>
      <c r="C8" s="76" t="s">
        <v>46</v>
      </c>
      <c r="D8" s="16" t="s">
        <v>34</v>
      </c>
      <c r="E8" s="78">
        <v>46131</v>
      </c>
      <c r="F8" s="81"/>
      <c r="G8" s="78">
        <v>46137</v>
      </c>
      <c r="H8" s="77">
        <v>10</v>
      </c>
      <c r="I8" s="86">
        <v>15000</v>
      </c>
      <c r="J8" s="86">
        <f t="shared" si="0"/>
        <v>150000</v>
      </c>
      <c r="K8" s="77">
        <v>0</v>
      </c>
      <c r="L8" s="77">
        <v>0</v>
      </c>
      <c r="M8" s="77">
        <v>0</v>
      </c>
      <c r="N8" s="77">
        <v>0</v>
      </c>
      <c r="O8" s="86">
        <v>3700000</v>
      </c>
      <c r="P8" s="77">
        <v>0</v>
      </c>
      <c r="Q8" s="70"/>
      <c r="R8" s="86">
        <f t="shared" si="1"/>
        <v>3850000</v>
      </c>
      <c r="S8" s="52">
        <f t="shared" si="2"/>
        <v>3850000</v>
      </c>
      <c r="T8" s="9"/>
      <c r="U8" s="9"/>
      <c r="V8" s="82"/>
      <c r="W8" s="84"/>
      <c r="X8" s="84"/>
      <c r="Y8" s="84"/>
      <c r="Z8" s="85"/>
      <c r="AA8" s="85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9"/>
      <c r="AM8" s="9"/>
      <c r="AN8" s="9"/>
      <c r="AO8" s="9"/>
    </row>
    <row r="9" spans="1:41" s="10" customFormat="1" ht="30" customHeight="1" x14ac:dyDescent="0.25">
      <c r="A9" s="9"/>
      <c r="B9" s="38" t="s">
        <v>0</v>
      </c>
      <c r="C9" s="76" t="s">
        <v>47</v>
      </c>
      <c r="D9" s="16" t="s">
        <v>34</v>
      </c>
      <c r="E9" s="78">
        <v>46138</v>
      </c>
      <c r="F9" s="81"/>
      <c r="G9" s="78">
        <v>46144</v>
      </c>
      <c r="H9" s="77">
        <v>14</v>
      </c>
      <c r="I9" s="86">
        <v>15000</v>
      </c>
      <c r="J9" s="86">
        <f t="shared" si="0"/>
        <v>210000</v>
      </c>
      <c r="K9" s="77">
        <v>0</v>
      </c>
      <c r="L9" s="77">
        <v>0</v>
      </c>
      <c r="M9" s="77">
        <v>0</v>
      </c>
      <c r="N9" s="77">
        <v>0</v>
      </c>
      <c r="O9" s="86">
        <v>3700000</v>
      </c>
      <c r="P9" s="77">
        <v>0</v>
      </c>
      <c r="Q9" s="70"/>
      <c r="R9" s="86">
        <f t="shared" si="1"/>
        <v>3910000</v>
      </c>
      <c r="S9" s="52">
        <f t="shared" si="2"/>
        <v>3910000</v>
      </c>
      <c r="T9" s="9"/>
      <c r="U9" s="9"/>
      <c r="V9" s="82"/>
      <c r="W9" s="84"/>
      <c r="X9" s="84"/>
      <c r="Y9" s="84"/>
      <c r="Z9" s="85"/>
      <c r="AA9" s="85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9"/>
      <c r="AM9" s="9"/>
      <c r="AN9" s="9"/>
      <c r="AO9" s="9"/>
    </row>
    <row r="10" spans="1:41" s="10" customFormat="1" ht="30" customHeight="1" x14ac:dyDescent="0.25">
      <c r="A10" s="9"/>
      <c r="B10" s="38" t="s">
        <v>0</v>
      </c>
      <c r="C10" s="76" t="s">
        <v>48</v>
      </c>
      <c r="D10" s="16" t="s">
        <v>34</v>
      </c>
      <c r="E10" s="78">
        <v>46145</v>
      </c>
      <c r="F10" s="81"/>
      <c r="G10" s="78">
        <v>46152</v>
      </c>
      <c r="H10" s="77">
        <v>14</v>
      </c>
      <c r="I10" s="86">
        <v>15000</v>
      </c>
      <c r="J10" s="86">
        <f t="shared" si="0"/>
        <v>210000</v>
      </c>
      <c r="K10" s="77">
        <v>0</v>
      </c>
      <c r="L10" s="77">
        <v>0</v>
      </c>
      <c r="M10" s="77">
        <v>0</v>
      </c>
      <c r="N10" s="77">
        <v>0</v>
      </c>
      <c r="O10" s="86">
        <v>3700000</v>
      </c>
      <c r="P10" s="77">
        <v>0</v>
      </c>
      <c r="Q10" s="70"/>
      <c r="R10" s="86">
        <f t="shared" si="1"/>
        <v>3910000</v>
      </c>
      <c r="S10" s="52">
        <f t="shared" si="2"/>
        <v>3910000</v>
      </c>
      <c r="T10" s="9"/>
      <c r="U10" s="9"/>
      <c r="V10" s="82"/>
      <c r="W10" s="84"/>
      <c r="X10" s="84"/>
      <c r="Y10" s="84"/>
      <c r="Z10" s="85"/>
      <c r="AA10" s="85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9"/>
      <c r="AM10" s="9"/>
      <c r="AN10" s="9"/>
      <c r="AO10" s="9"/>
    </row>
    <row r="11" spans="1:41" s="10" customFormat="1" ht="30" customHeight="1" x14ac:dyDescent="0.25">
      <c r="A11" s="9"/>
      <c r="B11" s="38" t="s">
        <v>0</v>
      </c>
      <c r="C11" s="76" t="s">
        <v>49</v>
      </c>
      <c r="D11" s="16" t="s">
        <v>34</v>
      </c>
      <c r="E11" s="78">
        <v>46153</v>
      </c>
      <c r="F11" s="81"/>
      <c r="G11" s="78">
        <v>46157</v>
      </c>
      <c r="H11" s="77">
        <v>4</v>
      </c>
      <c r="I11" s="86">
        <v>15000</v>
      </c>
      <c r="J11" s="86">
        <f t="shared" si="0"/>
        <v>60000</v>
      </c>
      <c r="K11" s="77">
        <v>0</v>
      </c>
      <c r="L11" s="77">
        <v>0</v>
      </c>
      <c r="M11" s="77">
        <v>0</v>
      </c>
      <c r="N11" s="77">
        <v>0</v>
      </c>
      <c r="O11" s="86">
        <v>3700000</v>
      </c>
      <c r="P11" s="77">
        <v>0</v>
      </c>
      <c r="Q11" s="70"/>
      <c r="R11" s="86">
        <f t="shared" si="1"/>
        <v>3760000</v>
      </c>
      <c r="S11" s="52">
        <f t="shared" si="2"/>
        <v>3760000</v>
      </c>
      <c r="T11" s="9"/>
      <c r="U11" s="9"/>
      <c r="V11" s="82"/>
      <c r="W11" s="84"/>
      <c r="X11" s="84"/>
      <c r="Y11" s="84"/>
      <c r="Z11" s="85"/>
      <c r="AA11" s="85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9"/>
      <c r="AM11" s="9"/>
      <c r="AN11" s="9"/>
      <c r="AO11" s="9"/>
    </row>
    <row r="12" spans="1:41" s="10" customFormat="1" ht="30" customHeight="1" x14ac:dyDescent="0.25">
      <c r="A12" s="9"/>
      <c r="B12" s="38" t="s">
        <v>0</v>
      </c>
      <c r="C12" s="76" t="s">
        <v>50</v>
      </c>
      <c r="D12" s="16" t="s">
        <v>34</v>
      </c>
      <c r="E12" s="78">
        <v>46158</v>
      </c>
      <c r="F12" s="81"/>
      <c r="G12" s="78">
        <v>46162</v>
      </c>
      <c r="H12" s="77">
        <v>20</v>
      </c>
      <c r="I12" s="86">
        <v>15000</v>
      </c>
      <c r="J12" s="86">
        <f t="shared" si="0"/>
        <v>300000</v>
      </c>
      <c r="K12" s="77">
        <v>0</v>
      </c>
      <c r="L12" s="77">
        <v>0</v>
      </c>
      <c r="M12" s="77">
        <v>0</v>
      </c>
      <c r="N12" s="77">
        <v>0</v>
      </c>
      <c r="O12" s="86">
        <v>3700000</v>
      </c>
      <c r="P12" s="77">
        <v>0</v>
      </c>
      <c r="Q12" s="70"/>
      <c r="R12" s="86">
        <f t="shared" si="1"/>
        <v>4000000</v>
      </c>
      <c r="S12" s="52">
        <f t="shared" si="2"/>
        <v>4000000</v>
      </c>
      <c r="T12" s="9"/>
      <c r="U12" s="9"/>
      <c r="V12" s="82"/>
      <c r="W12" s="84"/>
      <c r="X12" s="84"/>
      <c r="Y12" s="84"/>
      <c r="Z12" s="85"/>
      <c r="AA12" s="85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9"/>
      <c r="AM12" s="9"/>
      <c r="AN12" s="9"/>
      <c r="AO12" s="9"/>
    </row>
    <row r="13" spans="1:41" s="10" customFormat="1" ht="30" customHeight="1" x14ac:dyDescent="0.25">
      <c r="A13" s="9"/>
      <c r="B13" s="38" t="s">
        <v>0</v>
      </c>
      <c r="C13" s="76" t="s">
        <v>51</v>
      </c>
      <c r="D13" s="16" t="s">
        <v>34</v>
      </c>
      <c r="E13" s="78">
        <v>46163</v>
      </c>
      <c r="F13" s="81"/>
      <c r="G13" s="78">
        <v>46167</v>
      </c>
      <c r="H13" s="77">
        <v>18</v>
      </c>
      <c r="I13" s="86">
        <v>15000</v>
      </c>
      <c r="J13" s="86">
        <v>225000</v>
      </c>
      <c r="K13" s="77">
        <v>1</v>
      </c>
      <c r="L13" s="77">
        <v>30000</v>
      </c>
      <c r="M13" s="77">
        <v>30000</v>
      </c>
      <c r="N13" s="77">
        <v>0</v>
      </c>
      <c r="O13" s="86">
        <v>3700000</v>
      </c>
      <c r="P13" s="77">
        <v>0</v>
      </c>
      <c r="Q13" s="70"/>
      <c r="R13" s="86">
        <f t="shared" si="1"/>
        <v>3955000</v>
      </c>
      <c r="S13" s="52">
        <f t="shared" si="2"/>
        <v>3955000</v>
      </c>
      <c r="T13" s="9"/>
      <c r="U13" s="9"/>
      <c r="V13" s="82"/>
      <c r="W13" s="84"/>
      <c r="X13" s="84"/>
      <c r="Y13" s="84"/>
      <c r="Z13" s="85"/>
      <c r="AA13" s="85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9"/>
      <c r="AM13" s="9"/>
      <c r="AN13" s="9"/>
      <c r="AO13" s="9"/>
    </row>
    <row r="14" spans="1:41" s="10" customFormat="1" ht="30" customHeight="1" x14ac:dyDescent="0.25">
      <c r="A14" s="9"/>
      <c r="B14" s="21" t="s">
        <v>1</v>
      </c>
      <c r="C14" s="21"/>
      <c r="D14" s="39"/>
      <c r="E14" s="22"/>
      <c r="F14" s="80"/>
      <c r="G14" s="58"/>
      <c r="H14" s="94">
        <f>SUM(H5:H13)</f>
        <v>144</v>
      </c>
      <c r="I14" s="40"/>
      <c r="J14" s="42">
        <f t="shared" ref="J14" si="3">SUM(J5:J13)</f>
        <v>2115000</v>
      </c>
      <c r="K14" s="42"/>
      <c r="L14" s="42"/>
      <c r="M14" s="42">
        <f>SUM(M5:M13)</f>
        <v>30000</v>
      </c>
      <c r="N14" s="42">
        <f>SUM(N5:N13)</f>
        <v>0</v>
      </c>
      <c r="O14" s="42">
        <f>SUM(O5:O13)</f>
        <v>33300000</v>
      </c>
      <c r="P14" s="48">
        <f>SUM(P5:P13)</f>
        <v>0</v>
      </c>
      <c r="Q14" s="55">
        <f>SUM(Q5:Q13)</f>
        <v>0</v>
      </c>
      <c r="R14" s="52">
        <f>SUM(J14:P14)</f>
        <v>35445000</v>
      </c>
      <c r="S14" s="52">
        <f>R14-Q14</f>
        <v>35445000</v>
      </c>
      <c r="T14" s="9"/>
      <c r="U14" s="9"/>
      <c r="V14" s="82"/>
      <c r="W14" s="84"/>
      <c r="X14" s="84"/>
      <c r="Y14" s="84"/>
      <c r="Z14" s="85"/>
      <c r="AA14" s="85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9"/>
      <c r="AM14" s="9"/>
      <c r="AN14" s="9"/>
      <c r="AO14" s="9"/>
    </row>
    <row r="15" spans="1:41" s="10" customFormat="1" ht="11.1" customHeight="1" thickBot="1" x14ac:dyDescent="0.3">
      <c r="A15" s="9"/>
      <c r="B15" s="11"/>
      <c r="C15" s="11"/>
      <c r="D15" s="11"/>
      <c r="E15" s="11"/>
      <c r="F15" s="11"/>
      <c r="G15" s="11"/>
      <c r="H15" s="12"/>
      <c r="I15" s="13"/>
      <c r="J15" s="13"/>
      <c r="K15" s="12"/>
      <c r="L15" s="13"/>
      <c r="M15" s="13"/>
      <c r="N15" s="12"/>
      <c r="O15" s="12"/>
      <c r="P15" s="13"/>
      <c r="Q15" s="14"/>
      <c r="R15" s="13"/>
      <c r="S15" s="15"/>
      <c r="T15" s="9"/>
      <c r="U15" s="9"/>
      <c r="V15" s="82"/>
      <c r="W15" s="84"/>
      <c r="X15" s="84"/>
      <c r="Y15" s="84"/>
      <c r="Z15" s="85"/>
      <c r="AA15" s="85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9"/>
      <c r="AM15" s="9"/>
      <c r="AN15" s="9"/>
      <c r="AO15" s="9"/>
    </row>
    <row r="16" spans="1:41" s="10" customFormat="1" ht="35.1" customHeight="1" x14ac:dyDescent="0.25">
      <c r="A16" s="9"/>
      <c r="B16" s="41" t="s">
        <v>6</v>
      </c>
      <c r="C16" s="41"/>
      <c r="D16" s="41"/>
      <c r="E16" s="41"/>
      <c r="F16" s="41"/>
      <c r="G16" s="56"/>
      <c r="H16" s="87" t="s">
        <v>7</v>
      </c>
      <c r="I16" s="88"/>
      <c r="J16" s="88"/>
      <c r="K16" s="88" t="s">
        <v>8</v>
      </c>
      <c r="L16" s="88"/>
      <c r="M16" s="88"/>
      <c r="N16" s="89" t="s">
        <v>9</v>
      </c>
      <c r="O16" s="90"/>
      <c r="P16" s="91"/>
      <c r="Q16" s="92" t="s">
        <v>10</v>
      </c>
      <c r="R16" s="90"/>
      <c r="S16" s="93"/>
      <c r="T16" s="9"/>
      <c r="U16" s="9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  <c r="AH16" s="82"/>
      <c r="AI16" s="82"/>
      <c r="AJ16" s="82"/>
      <c r="AK16" s="82"/>
      <c r="AL16" s="9"/>
      <c r="AM16" s="9"/>
      <c r="AN16" s="9"/>
      <c r="AO16" s="9"/>
    </row>
    <row r="17" spans="1:41" s="10" customFormat="1" ht="35.1" customHeight="1" x14ac:dyDescent="0.25">
      <c r="A17" s="9"/>
      <c r="B17" s="36" t="s">
        <v>11</v>
      </c>
      <c r="C17" s="36" t="s">
        <v>12</v>
      </c>
      <c r="D17" s="36" t="s">
        <v>13</v>
      </c>
      <c r="E17" s="19" t="s">
        <v>14</v>
      </c>
      <c r="F17" s="19" t="s">
        <v>15</v>
      </c>
      <c r="G17" s="57" t="s">
        <v>16</v>
      </c>
      <c r="H17" s="49" t="s">
        <v>17</v>
      </c>
      <c r="I17" s="20" t="s">
        <v>18</v>
      </c>
      <c r="J17" s="20" t="s">
        <v>19</v>
      </c>
      <c r="K17" s="19" t="s">
        <v>20</v>
      </c>
      <c r="L17" s="19" t="s">
        <v>21</v>
      </c>
      <c r="M17" s="19" t="s">
        <v>22</v>
      </c>
      <c r="N17" s="19" t="s">
        <v>23</v>
      </c>
      <c r="O17" s="19" t="s">
        <v>24</v>
      </c>
      <c r="P17" s="47" t="s">
        <v>25</v>
      </c>
      <c r="Q17" s="54" t="s">
        <v>26</v>
      </c>
      <c r="R17" s="53" t="s">
        <v>27</v>
      </c>
      <c r="S17" s="51" t="s">
        <v>28</v>
      </c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</row>
    <row r="18" spans="1:41" s="10" customFormat="1" ht="30" customHeight="1" x14ac:dyDescent="0.25">
      <c r="A18" s="9"/>
      <c r="B18" s="37" t="s">
        <v>4</v>
      </c>
      <c r="C18" s="37"/>
      <c r="D18" s="37"/>
      <c r="E18" s="59"/>
      <c r="F18" s="59"/>
      <c r="G18" s="60"/>
      <c r="H18" s="61"/>
      <c r="I18" s="62"/>
      <c r="J18" s="62"/>
      <c r="K18" s="62"/>
      <c r="L18" s="62"/>
      <c r="M18" s="62"/>
      <c r="N18" s="62"/>
      <c r="O18" s="62"/>
      <c r="P18" s="63"/>
      <c r="Q18" s="64"/>
      <c r="R18" s="65"/>
      <c r="S18" s="65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</row>
    <row r="19" spans="1:41" s="10" customFormat="1" ht="30" customHeight="1" x14ac:dyDescent="0.25">
      <c r="A19" s="9"/>
      <c r="B19" s="38" t="s">
        <v>0</v>
      </c>
      <c r="C19" s="38"/>
      <c r="D19" s="16" t="s">
        <v>34</v>
      </c>
      <c r="E19" s="43"/>
      <c r="F19" s="43"/>
      <c r="G19" s="66"/>
      <c r="H19" s="67"/>
      <c r="I19" s="45"/>
      <c r="J19" s="68">
        <f>H19*I19</f>
        <v>0</v>
      </c>
      <c r="K19" s="44"/>
      <c r="L19" s="45"/>
      <c r="M19" s="68">
        <f>K19*L19</f>
        <v>0</v>
      </c>
      <c r="N19" s="46"/>
      <c r="O19" s="46"/>
      <c r="P19" s="69"/>
      <c r="Q19" s="70"/>
      <c r="R19" s="71">
        <f>J19+M19+N19+O19+P19</f>
        <v>0</v>
      </c>
      <c r="S19" s="72">
        <f t="shared" ref="S19:S27" si="4">R19-Q19</f>
        <v>0</v>
      </c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</row>
    <row r="20" spans="1:41" s="10" customFormat="1" ht="30" customHeight="1" x14ac:dyDescent="0.25">
      <c r="A20" s="9"/>
      <c r="B20" s="38" t="s">
        <v>0</v>
      </c>
      <c r="C20" s="38"/>
      <c r="D20" s="16" t="s">
        <v>34</v>
      </c>
      <c r="E20" s="43"/>
      <c r="F20" s="43"/>
      <c r="G20" s="66"/>
      <c r="H20" s="67"/>
      <c r="I20" s="45"/>
      <c r="J20" s="68">
        <f t="shared" ref="J20:J27" si="5">H20*I20</f>
        <v>0</v>
      </c>
      <c r="K20" s="44"/>
      <c r="L20" s="45"/>
      <c r="M20" s="68">
        <f t="shared" ref="M20:M27" si="6">K20*L20</f>
        <v>0</v>
      </c>
      <c r="N20" s="46"/>
      <c r="O20" s="46"/>
      <c r="P20" s="69"/>
      <c r="Q20" s="70"/>
      <c r="R20" s="71">
        <f t="shared" ref="R20:R27" si="7">J20+M20+N20+O20+P20</f>
        <v>0</v>
      </c>
      <c r="S20" s="72">
        <f t="shared" si="4"/>
        <v>0</v>
      </c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</row>
    <row r="21" spans="1:41" s="10" customFormat="1" ht="30" customHeight="1" x14ac:dyDescent="0.25">
      <c r="A21" s="9"/>
      <c r="B21" s="38" t="s">
        <v>0</v>
      </c>
      <c r="C21" s="38"/>
      <c r="D21" s="16" t="s">
        <v>34</v>
      </c>
      <c r="E21" s="43"/>
      <c r="F21" s="43"/>
      <c r="G21" s="66"/>
      <c r="H21" s="67"/>
      <c r="I21" s="45"/>
      <c r="J21" s="68">
        <f t="shared" si="5"/>
        <v>0</v>
      </c>
      <c r="K21" s="44"/>
      <c r="L21" s="45"/>
      <c r="M21" s="68">
        <f t="shared" si="6"/>
        <v>0</v>
      </c>
      <c r="N21" s="46"/>
      <c r="O21" s="46"/>
      <c r="P21" s="69"/>
      <c r="Q21" s="70"/>
      <c r="R21" s="71">
        <f t="shared" si="7"/>
        <v>0</v>
      </c>
      <c r="S21" s="72">
        <f t="shared" si="4"/>
        <v>0</v>
      </c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</row>
    <row r="22" spans="1:41" s="10" customFormat="1" ht="30" customHeight="1" x14ac:dyDescent="0.25">
      <c r="A22" s="9"/>
      <c r="B22" s="38" t="s">
        <v>0</v>
      </c>
      <c r="C22" s="38"/>
      <c r="D22" s="16" t="s">
        <v>34</v>
      </c>
      <c r="E22" s="43"/>
      <c r="F22" s="43"/>
      <c r="G22" s="66"/>
      <c r="H22" s="67"/>
      <c r="I22" s="45"/>
      <c r="J22" s="68">
        <f t="shared" si="5"/>
        <v>0</v>
      </c>
      <c r="K22" s="44"/>
      <c r="L22" s="45"/>
      <c r="M22" s="68">
        <f t="shared" si="6"/>
        <v>0</v>
      </c>
      <c r="N22" s="46"/>
      <c r="O22" s="46"/>
      <c r="P22" s="69"/>
      <c r="Q22" s="70"/>
      <c r="R22" s="71">
        <f t="shared" si="7"/>
        <v>0</v>
      </c>
      <c r="S22" s="72">
        <f t="shared" si="4"/>
        <v>0</v>
      </c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</row>
    <row r="23" spans="1:41" s="10" customFormat="1" ht="30" customHeight="1" x14ac:dyDescent="0.25">
      <c r="A23" s="9"/>
      <c r="B23" s="38" t="s">
        <v>0</v>
      </c>
      <c r="C23" s="38"/>
      <c r="D23" s="16" t="s">
        <v>34</v>
      </c>
      <c r="E23" s="43"/>
      <c r="F23" s="43"/>
      <c r="G23" s="66"/>
      <c r="H23" s="67"/>
      <c r="I23" s="45"/>
      <c r="J23" s="68">
        <f t="shared" si="5"/>
        <v>0</v>
      </c>
      <c r="K23" s="44"/>
      <c r="L23" s="45"/>
      <c r="M23" s="68">
        <f t="shared" si="6"/>
        <v>0</v>
      </c>
      <c r="N23" s="46"/>
      <c r="O23" s="46"/>
      <c r="P23" s="69"/>
      <c r="Q23" s="70"/>
      <c r="R23" s="71">
        <f t="shared" si="7"/>
        <v>0</v>
      </c>
      <c r="S23" s="72">
        <f t="shared" si="4"/>
        <v>0</v>
      </c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</row>
    <row r="24" spans="1:41" s="10" customFormat="1" ht="30" customHeight="1" x14ac:dyDescent="0.25">
      <c r="A24" s="9"/>
      <c r="B24" s="38" t="s">
        <v>0</v>
      </c>
      <c r="C24" s="38"/>
      <c r="D24" s="16" t="s">
        <v>34</v>
      </c>
      <c r="E24" s="43"/>
      <c r="F24" s="43"/>
      <c r="G24" s="66"/>
      <c r="H24" s="67"/>
      <c r="I24" s="45"/>
      <c r="J24" s="68">
        <f t="shared" si="5"/>
        <v>0</v>
      </c>
      <c r="K24" s="44"/>
      <c r="L24" s="45"/>
      <c r="M24" s="68">
        <f t="shared" si="6"/>
        <v>0</v>
      </c>
      <c r="N24" s="46"/>
      <c r="O24" s="46"/>
      <c r="P24" s="69"/>
      <c r="Q24" s="70"/>
      <c r="R24" s="71">
        <f t="shared" si="7"/>
        <v>0</v>
      </c>
      <c r="S24" s="72">
        <f t="shared" si="4"/>
        <v>0</v>
      </c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</row>
    <row r="25" spans="1:41" s="10" customFormat="1" ht="30" customHeight="1" x14ac:dyDescent="0.25">
      <c r="A25" s="9"/>
      <c r="B25" s="38" t="s">
        <v>0</v>
      </c>
      <c r="C25" s="38"/>
      <c r="D25" s="16" t="s">
        <v>34</v>
      </c>
      <c r="E25" s="43"/>
      <c r="F25" s="43"/>
      <c r="G25" s="66"/>
      <c r="H25" s="67"/>
      <c r="I25" s="45"/>
      <c r="J25" s="68">
        <f t="shared" si="5"/>
        <v>0</v>
      </c>
      <c r="K25" s="44"/>
      <c r="L25" s="45"/>
      <c r="M25" s="68">
        <f t="shared" si="6"/>
        <v>0</v>
      </c>
      <c r="N25" s="46"/>
      <c r="O25" s="46"/>
      <c r="P25" s="69"/>
      <c r="Q25" s="70"/>
      <c r="R25" s="71">
        <f t="shared" si="7"/>
        <v>0</v>
      </c>
      <c r="S25" s="72">
        <f t="shared" si="4"/>
        <v>0</v>
      </c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</row>
    <row r="26" spans="1:41" s="10" customFormat="1" ht="30" customHeight="1" x14ac:dyDescent="0.25">
      <c r="A26" s="9"/>
      <c r="B26" s="38" t="s">
        <v>0</v>
      </c>
      <c r="C26" s="38"/>
      <c r="D26" s="16" t="s">
        <v>34</v>
      </c>
      <c r="E26" s="43"/>
      <c r="F26" s="43"/>
      <c r="G26" s="66"/>
      <c r="H26" s="67"/>
      <c r="I26" s="45"/>
      <c r="J26" s="68">
        <f t="shared" si="5"/>
        <v>0</v>
      </c>
      <c r="K26" s="44"/>
      <c r="L26" s="45"/>
      <c r="M26" s="68">
        <f t="shared" si="6"/>
        <v>0</v>
      </c>
      <c r="N26" s="46"/>
      <c r="O26" s="46"/>
      <c r="P26" s="69"/>
      <c r="Q26" s="70"/>
      <c r="R26" s="71">
        <f t="shared" si="7"/>
        <v>0</v>
      </c>
      <c r="S26" s="72">
        <f t="shared" si="4"/>
        <v>0</v>
      </c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</row>
    <row r="27" spans="1:41" s="10" customFormat="1" ht="30" customHeight="1" x14ac:dyDescent="0.25">
      <c r="A27" s="9"/>
      <c r="B27" s="38" t="s">
        <v>0</v>
      </c>
      <c r="C27" s="38"/>
      <c r="D27" s="16" t="s">
        <v>34</v>
      </c>
      <c r="E27" s="43"/>
      <c r="F27" s="43"/>
      <c r="G27" s="66"/>
      <c r="H27" s="67"/>
      <c r="I27" s="45"/>
      <c r="J27" s="68">
        <f t="shared" si="5"/>
        <v>0</v>
      </c>
      <c r="K27" s="44"/>
      <c r="L27" s="45"/>
      <c r="M27" s="68">
        <f t="shared" si="6"/>
        <v>0</v>
      </c>
      <c r="N27" s="46"/>
      <c r="O27" s="46"/>
      <c r="P27" s="69"/>
      <c r="Q27" s="70"/>
      <c r="R27" s="71">
        <f t="shared" si="7"/>
        <v>0</v>
      </c>
      <c r="S27" s="72">
        <f t="shared" si="4"/>
        <v>0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</row>
    <row r="28" spans="1:41" s="10" customFormat="1" ht="30" customHeight="1" x14ac:dyDescent="0.25">
      <c r="A28" s="9"/>
      <c r="B28" s="21" t="s">
        <v>1</v>
      </c>
      <c r="C28" s="21"/>
      <c r="D28" s="39"/>
      <c r="E28" s="22"/>
      <c r="F28" s="22"/>
      <c r="G28" s="58"/>
      <c r="H28" s="50"/>
      <c r="I28" s="40"/>
      <c r="J28" s="42">
        <f t="shared" ref="J28" si="8">SUM(J19:J27)</f>
        <v>0</v>
      </c>
      <c r="K28" s="42"/>
      <c r="L28" s="42"/>
      <c r="M28" s="42">
        <f>SUM(M19:M27)</f>
        <v>0</v>
      </c>
      <c r="N28" s="42">
        <f>SUM(N19:N27)</f>
        <v>0</v>
      </c>
      <c r="O28" s="42">
        <f>SUM(O19:O27)</f>
        <v>0</v>
      </c>
      <c r="P28" s="48">
        <f>SUM(P19:P27)</f>
        <v>0</v>
      </c>
      <c r="Q28" s="55">
        <f>SUM(Q19:Q27)</f>
        <v>0</v>
      </c>
      <c r="R28" s="52">
        <f>SUM(J28:P28)</f>
        <v>0</v>
      </c>
      <c r="S28" s="52">
        <f>R28-Q28</f>
        <v>0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</row>
    <row r="29" spans="1:41" s="4" customFormat="1" ht="21" customHeight="1" x14ac:dyDescent="0.25">
      <c r="B29" s="6"/>
      <c r="C29" s="6"/>
      <c r="D29" s="6"/>
      <c r="E29" s="6"/>
      <c r="F29" s="6"/>
      <c r="G29" s="6"/>
      <c r="H29" s="1"/>
      <c r="I29" s="2"/>
      <c r="J29" s="2"/>
      <c r="K29" s="1"/>
      <c r="L29" s="2"/>
      <c r="M29" s="2"/>
      <c r="N29" s="1"/>
      <c r="O29" s="1"/>
      <c r="P29" s="2"/>
      <c r="Q29" s="7"/>
      <c r="R29" s="2"/>
      <c r="S29" s="3"/>
    </row>
    <row r="30" spans="1:41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pans="1:41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pans="1:41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pans="1:41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pans="1:41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pans="1:4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pans="1:41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 spans="1:41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pans="1:41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pans="1:41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pans="1:41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pans="1:41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pans="1:41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pans="1:41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pans="1:41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pans="1:4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pans="1:41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pans="1:41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pans="1:41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pans="1:41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pans="1:4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pans="1:41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pans="1:41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pans="1:4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pans="1:4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pans="1:4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pans="1:4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pans="1:4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pans="1:41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pans="1:4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pans="1:41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pans="1:41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pans="1:4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pans="1:41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pans="1:41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pans="1:41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pans="1:41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pans="1:41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pans="1:41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pans="1:4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pans="1:41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pans="1:41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pans="1:41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pans="1:41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pans="1:41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pans="1:41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</row>
    <row r="76" spans="1:41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</row>
    <row r="77" spans="1:41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spans="1:41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spans="1:41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</row>
    <row r="80" spans="1:41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</row>
    <row r="81" spans="1:21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</row>
    <row r="82" spans="1:21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</row>
    <row r="83" spans="1:21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</row>
    <row r="84" spans="1:2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</row>
    <row r="85" spans="1:2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</row>
    <row r="86" spans="1:2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</row>
    <row r="87" spans="1:2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</row>
    <row r="88" spans="1:2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</row>
    <row r="89" spans="1:2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</row>
    <row r="90" spans="1:2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</row>
    <row r="91" spans="1:2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</row>
    <row r="92" spans="1:2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spans="1:2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spans="1:2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 spans="1:2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</row>
    <row r="96" spans="1:2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</row>
    <row r="97" spans="1:2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</row>
    <row r="98" spans="1:2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</row>
    <row r="99" spans="1:2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</row>
    <row r="100" spans="1:2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</row>
    <row r="101" spans="1:2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spans="1:2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spans="1:2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spans="1:2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 spans="1:2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 spans="1:2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</row>
    <row r="107" spans="1:2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 spans="1:2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 spans="1:2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 spans="1:2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 spans="1:2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</row>
    <row r="112" spans="1:2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</row>
    <row r="113" spans="1:2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</row>
    <row r="114" spans="1:2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</row>
    <row r="115" spans="1:2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 spans="1:2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 spans="1:2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spans="1:2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 spans="1:2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 spans="1:2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</row>
    <row r="121" spans="1:2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spans="1:2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spans="1:2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</row>
    <row r="124" spans="1:2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</row>
    <row r="125" spans="1:2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</row>
    <row r="126" spans="1:2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</row>
    <row r="127" spans="1:2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</row>
    <row r="128" spans="1:2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</row>
    <row r="129" spans="1:2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</row>
    <row r="130" spans="1:2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</row>
    <row r="131" spans="1:2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</row>
    <row r="132" spans="1:2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</row>
    <row r="133" spans="1:2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</row>
    <row r="134" spans="1:2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</row>
    <row r="135" spans="1:2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</row>
    <row r="136" spans="1:2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</row>
    <row r="137" spans="1:2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</row>
    <row r="138" spans="1:2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</row>
    <row r="139" spans="1:2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</row>
    <row r="140" spans="1:2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</row>
    <row r="141" spans="1:2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</row>
    <row r="142" spans="1:2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</row>
    <row r="143" spans="1:2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</row>
    <row r="144" spans="1:2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</row>
    <row r="145" spans="1:2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</row>
    <row r="146" spans="1:2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</row>
    <row r="147" spans="1:2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</row>
    <row r="148" spans="1:2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</row>
    <row r="149" spans="1:2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</row>
    <row r="150" spans="1:2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</row>
    <row r="151" spans="1:2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</row>
    <row r="152" spans="1:2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</row>
    <row r="153" spans="1:2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</row>
    <row r="154" spans="1:2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</row>
    <row r="155" spans="1:2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</row>
    <row r="156" spans="1:2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</row>
    <row r="157" spans="1:2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</row>
    <row r="158" spans="1:2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</row>
    <row r="159" spans="1:2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</row>
    <row r="160" spans="1:2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</row>
    <row r="161" spans="1:2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</row>
    <row r="162" spans="1:2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</row>
    <row r="163" spans="1:2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</row>
    <row r="164" spans="1:2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</row>
    <row r="165" spans="1:2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</row>
    <row r="166" spans="1:2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</row>
    <row r="167" spans="1:2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</row>
    <row r="168" spans="1:2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</row>
    <row r="169" spans="1:2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</row>
    <row r="170" spans="1:2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</row>
    <row r="171" spans="1:2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</row>
    <row r="172" spans="1:2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</row>
    <row r="173" spans="1:2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</row>
    <row r="174" spans="1:2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</row>
    <row r="175" spans="1:2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</row>
    <row r="176" spans="1:2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</row>
    <row r="177" spans="1:2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</row>
    <row r="178" spans="1:2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</row>
    <row r="179" spans="1:2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</row>
    <row r="180" spans="1:2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</row>
    <row r="181" spans="1:2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</row>
    <row r="182" spans="1:2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</row>
    <row r="183" spans="1:2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</row>
    <row r="184" spans="1:2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</row>
    <row r="185" spans="1:2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</row>
    <row r="186" spans="1:2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</row>
    <row r="187" spans="1:2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</row>
    <row r="188" spans="1:2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</row>
    <row r="189" spans="1:2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</row>
    <row r="190" spans="1:2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</row>
    <row r="191" spans="1:2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</row>
    <row r="192" spans="1:2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</row>
    <row r="193" spans="1:2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</row>
    <row r="194" spans="1:2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</row>
    <row r="195" spans="1:2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</row>
    <row r="196" spans="1:2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</row>
    <row r="197" spans="1:2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</row>
    <row r="198" spans="1:2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</row>
    <row r="199" spans="1:2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</row>
    <row r="200" spans="1:2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</row>
    <row r="201" spans="1:2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</row>
    <row r="202" spans="1:2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</row>
    <row r="203" spans="1:2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</row>
    <row r="204" spans="1:2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</row>
    <row r="205" spans="1:2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</row>
    <row r="206" spans="1:2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</row>
    <row r="207" spans="1:2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</row>
    <row r="208" spans="1:2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</row>
    <row r="209" spans="1:2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</row>
    <row r="210" spans="1:2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</row>
    <row r="211" spans="1:2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</row>
    <row r="212" spans="1:2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</row>
    <row r="213" spans="1:2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</row>
    <row r="214" spans="1:2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</row>
    <row r="215" spans="1:2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</row>
    <row r="216" spans="1:2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</row>
    <row r="217" spans="1:2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</row>
    <row r="218" spans="1:2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</row>
    <row r="219" spans="1:2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</row>
    <row r="220" spans="1:2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</row>
    <row r="221" spans="1:2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</row>
    <row r="222" spans="1:2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</row>
    <row r="223" spans="1:2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</row>
    <row r="224" spans="1:2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</row>
    <row r="225" spans="1:2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</row>
    <row r="226" spans="1:2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</row>
    <row r="227" spans="1:2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</row>
    <row r="228" spans="1:2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</row>
    <row r="229" spans="1:2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</row>
    <row r="230" spans="1:2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</row>
    <row r="231" spans="1:2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</row>
    <row r="232" spans="1:2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</row>
    <row r="233" spans="1:2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</row>
    <row r="234" spans="1:2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</row>
    <row r="235" spans="1:2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</row>
    <row r="236" spans="1:2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</row>
    <row r="237" spans="1:2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</row>
    <row r="238" spans="1:2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</row>
    <row r="239" spans="1:2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</row>
    <row r="240" spans="1:2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</row>
    <row r="241" spans="1:2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</row>
    <row r="242" spans="1:2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</row>
    <row r="243" spans="1:2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</row>
    <row r="244" spans="1:2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</row>
    <row r="245" spans="1:2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</row>
    <row r="246" spans="1:2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</row>
    <row r="247" spans="1:2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</row>
    <row r="248" spans="1:2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</row>
    <row r="249" spans="1:2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</row>
    <row r="250" spans="1:2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</row>
    <row r="251" spans="1:2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</row>
    <row r="252" spans="1:2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</row>
    <row r="253" spans="1:2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</row>
    <row r="254" spans="1:2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</row>
    <row r="255" spans="1:2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</row>
    <row r="256" spans="1:2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</row>
    <row r="257" spans="1:2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</row>
    <row r="258" spans="1:2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</row>
    <row r="259" spans="1:2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</row>
    <row r="260" spans="1:2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</row>
    <row r="261" spans="1:2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</row>
    <row r="262" spans="1:2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</row>
    <row r="263" spans="1:2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</row>
    <row r="264" spans="1:2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</row>
    <row r="265" spans="1:2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</row>
    <row r="266" spans="1:2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</row>
    <row r="267" spans="1:2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</row>
    <row r="268" spans="1:2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</row>
    <row r="269" spans="1:2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</row>
    <row r="270" spans="1:2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</row>
    <row r="271" spans="1:2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</row>
    <row r="272" spans="1:2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</row>
    <row r="273" spans="1:2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</row>
    <row r="274" spans="1:2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</row>
    <row r="275" spans="1:2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</row>
    <row r="276" spans="1:2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</row>
    <row r="277" spans="1:2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</row>
    <row r="278" spans="1:2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</row>
    <row r="279" spans="1:2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</row>
    <row r="280" spans="1:2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</row>
    <row r="281" spans="1:2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</row>
    <row r="282" spans="1:2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</row>
    <row r="283" spans="1:2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</row>
    <row r="284" spans="1:2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</row>
    <row r="285" spans="1:2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</row>
    <row r="286" spans="1:2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</row>
    <row r="287" spans="1:2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</row>
    <row r="288" spans="1:2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</row>
    <row r="289" spans="1:2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</row>
    <row r="290" spans="1:2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</row>
    <row r="291" spans="1:2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</row>
    <row r="292" spans="1:2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</row>
    <row r="293" spans="1:2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</row>
    <row r="294" spans="1:2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</row>
    <row r="295" spans="1:2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</row>
    <row r="296" spans="1:2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</row>
    <row r="297" spans="1:2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</row>
    <row r="298" spans="1:2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</row>
    <row r="299" spans="1:2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</row>
    <row r="300" spans="1:2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</row>
    <row r="301" spans="1:21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</row>
    <row r="302" spans="1:21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</row>
    <row r="303" spans="1:21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</row>
    <row r="304" spans="1:2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</row>
    <row r="305" spans="1:2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</row>
    <row r="306" spans="1:2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</row>
    <row r="307" spans="1:2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</row>
    <row r="308" spans="1:2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</row>
    <row r="309" spans="1:2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</row>
    <row r="310" spans="1:2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</row>
    <row r="311" spans="1:2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</row>
    <row r="312" spans="1:2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</row>
    <row r="313" spans="1:2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 spans="1:2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 spans="1:2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 spans="1:2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 spans="1:2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 spans="1:2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 spans="1:2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 spans="1:2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 spans="1:2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 spans="1:2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 spans="1:2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 spans="1:2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 spans="1:2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 spans="1:2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 spans="1:2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 spans="1:2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 spans="1:2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 spans="1:2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 spans="1:2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</row>
    <row r="332" spans="1:2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 spans="1:2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 spans="1:2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 spans="1:2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 spans="1:2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 spans="1:2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 spans="1:2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 spans="1:2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 spans="1:2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 spans="1:2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 spans="1:2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 spans="1:2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 spans="1:2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 spans="1:2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 spans="1:2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 spans="1:2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 spans="1:2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 spans="1:2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 spans="1:2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 spans="1:2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 spans="1:2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 spans="1:2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 spans="1:2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 spans="1:2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 spans="1:2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 spans="1:2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 spans="1:2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 spans="1:2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 spans="1:2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 spans="1:2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 spans="1:2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 spans="1:2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 spans="1:2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 spans="1:2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 spans="1:2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 spans="1:2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 spans="1:2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 spans="1:2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 spans="1:2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 spans="1:2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 spans="1:2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 spans="1:2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 spans="1:2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 spans="1:2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 spans="1:2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 spans="1:2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 spans="1:2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 spans="1:2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 spans="1:2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 spans="1:2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 spans="1:2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 spans="1:2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 spans="1:2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 spans="1:2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 spans="1:2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 spans="1:2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 spans="1:2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 spans="1:2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 spans="1:2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 spans="1:2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 spans="1:2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 spans="1:2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 spans="1:2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 spans="1:2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 spans="1:2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 spans="1:2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 spans="1:2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 spans="1:2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 spans="1:2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 spans="1:2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spans="1:2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spans="1:2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spans="1:2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spans="1:2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spans="1:2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spans="1:2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spans="1:2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spans="1:2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spans="1:2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spans="1:2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spans="1:2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spans="1:2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spans="1:2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spans="1:2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spans="1:2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spans="1:2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</sheetData>
  <mergeCells count="8">
    <mergeCell ref="H2:J2"/>
    <mergeCell ref="K2:M2"/>
    <mergeCell ref="N2:P2"/>
    <mergeCell ref="Q2:S2"/>
    <mergeCell ref="H16:J16"/>
    <mergeCell ref="K16:M16"/>
    <mergeCell ref="N16:P16"/>
    <mergeCell ref="Q16:S16"/>
  </mergeCells>
  <conditionalFormatting sqref="D4 D7:D13">
    <cfRule type="containsText" dxfId="57" priority="47" operator="containsText" text="Approved">
      <formula>NOT(ISERROR(SEARCH("Approved",D4)))</formula>
    </cfRule>
    <cfRule type="containsText" dxfId="56" priority="48" operator="containsText" text="Needs Review">
      <formula>NOT(ISERROR(SEARCH("Needs Review",D4)))</formula>
    </cfRule>
    <cfRule type="containsText" dxfId="55" priority="49" operator="containsText" text="Not Started">
      <formula>NOT(ISERROR(SEARCH("Not Started",D4)))</formula>
    </cfRule>
    <cfRule type="containsText" dxfId="54" priority="50" operator="containsText" text="On Hold">
      <formula>NOT(ISERROR(SEARCH("On Hold",D4)))</formula>
    </cfRule>
    <cfRule type="containsText" dxfId="53" priority="51" operator="containsText" text="Overdue">
      <formula>NOT(ISERROR(SEARCH("Overdue",D4)))</formula>
    </cfRule>
    <cfRule type="containsText" dxfId="52" priority="52" operator="containsText" text="Complete">
      <formula>NOT(ISERROR(SEARCH("Complete",D4)))</formula>
    </cfRule>
    <cfRule type="containsText" dxfId="51" priority="53" operator="containsText" text="In Progress">
      <formula>NOT(ISERROR(SEARCH("In Progress",D4)))</formula>
    </cfRule>
  </conditionalFormatting>
  <conditionalFormatting sqref="D7:D13">
    <cfRule type="cellIs" dxfId="50" priority="39" operator="equal">
      <formula>"No Iniciado"</formula>
    </cfRule>
    <cfRule type="cellIs" dxfId="49" priority="40" operator="equal">
      <formula>"Aprobado"</formula>
    </cfRule>
    <cfRule type="cellIs" dxfId="48" priority="41" operator="equal">
      <formula>"En Espera"</formula>
    </cfRule>
    <cfRule type="cellIs" dxfId="47" priority="42" operator="equal">
      <formula>"Atrasado"</formula>
    </cfRule>
    <cfRule type="cellIs" dxfId="46" priority="43" operator="equal">
      <formula>"Aprovado"</formula>
    </cfRule>
    <cfRule type="cellIs" dxfId="45" priority="44" operator="equal">
      <formula>"Requiere Revisión"</formula>
    </cfRule>
    <cfRule type="cellIs" dxfId="44" priority="45" operator="equal">
      <formula>"En Progreso"</formula>
    </cfRule>
    <cfRule type="cellIs" dxfId="43" priority="46" operator="equal">
      <formula>"Completo"</formula>
    </cfRule>
  </conditionalFormatting>
  <conditionalFormatting sqref="D18:D27">
    <cfRule type="containsText" dxfId="42" priority="32" operator="containsText" text="Approved">
      <formula>NOT(ISERROR(SEARCH("Approved",D18)))</formula>
    </cfRule>
    <cfRule type="containsText" dxfId="41" priority="33" operator="containsText" text="Needs Review">
      <formula>NOT(ISERROR(SEARCH("Needs Review",D18)))</formula>
    </cfRule>
    <cfRule type="containsText" dxfId="40" priority="34" operator="containsText" text="Not Started">
      <formula>NOT(ISERROR(SEARCH("Not Started",D18)))</formula>
    </cfRule>
    <cfRule type="containsText" dxfId="39" priority="35" operator="containsText" text="On Hold">
      <formula>NOT(ISERROR(SEARCH("On Hold",D18)))</formula>
    </cfRule>
    <cfRule type="containsText" dxfId="38" priority="36" operator="containsText" text="Overdue">
      <formula>NOT(ISERROR(SEARCH("Overdue",D18)))</formula>
    </cfRule>
    <cfRule type="containsText" dxfId="37" priority="37" operator="containsText" text="Complete">
      <formula>NOT(ISERROR(SEARCH("Complete",D18)))</formula>
    </cfRule>
    <cfRule type="containsText" dxfId="36" priority="38" operator="containsText" text="In Progress">
      <formula>NOT(ISERROR(SEARCH("In Progress",D18)))</formula>
    </cfRule>
  </conditionalFormatting>
  <conditionalFormatting sqref="D19:D27">
    <cfRule type="cellIs" dxfId="35" priority="24" operator="equal">
      <formula>"No Iniciado"</formula>
    </cfRule>
    <cfRule type="cellIs" dxfId="34" priority="25" operator="equal">
      <formula>"Aprobado"</formula>
    </cfRule>
    <cfRule type="cellIs" dxfId="33" priority="26" operator="equal">
      <formula>"En Espera"</formula>
    </cfRule>
    <cfRule type="cellIs" dxfId="32" priority="27" operator="equal">
      <formula>"Atrasado"</formula>
    </cfRule>
    <cfRule type="cellIs" dxfId="31" priority="28" operator="equal">
      <formula>"Aprovado"</formula>
    </cfRule>
    <cfRule type="cellIs" dxfId="30" priority="29" operator="equal">
      <formula>"Requiere Revisión"</formula>
    </cfRule>
    <cfRule type="cellIs" dxfId="29" priority="30" operator="equal">
      <formula>"En Progreso"</formula>
    </cfRule>
    <cfRule type="cellIs" dxfId="28" priority="31" operator="equal">
      <formula>"Completo"</formula>
    </cfRule>
  </conditionalFormatting>
  <conditionalFormatting sqref="S14 S19:S28">
    <cfRule type="cellIs" dxfId="27" priority="67" operator="lessThan">
      <formula>0</formula>
    </cfRule>
    <cfRule type="cellIs" dxfId="26" priority="68" operator="greaterThan">
      <formula>0</formula>
    </cfRule>
  </conditionalFormatting>
  <conditionalFormatting sqref="S15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9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:S13">
    <cfRule type="cellIs" dxfId="25" priority="22" operator="lessThan">
      <formula>0</formula>
    </cfRule>
    <cfRule type="cellIs" dxfId="24" priority="23" operator="greaterThan">
      <formula>0</formula>
    </cfRule>
  </conditionalFormatting>
  <conditionalFormatting sqref="D6">
    <cfRule type="containsText" dxfId="23" priority="8" operator="containsText" text="Approved">
      <formula>NOT(ISERROR(SEARCH("Approved",D6)))</formula>
    </cfRule>
    <cfRule type="containsText" dxfId="22" priority="9" operator="containsText" text="Needs Review">
      <formula>NOT(ISERROR(SEARCH("Needs Review",D6)))</formula>
    </cfRule>
    <cfRule type="containsText" dxfId="21" priority="10" operator="containsText" text="Not Started">
      <formula>NOT(ISERROR(SEARCH("Not Started",D6)))</formula>
    </cfRule>
    <cfRule type="containsText" dxfId="20" priority="11" operator="containsText" text="On Hold">
      <formula>NOT(ISERROR(SEARCH("On Hold",D6)))</formula>
    </cfRule>
    <cfRule type="containsText" dxfId="19" priority="12" operator="containsText" text="Overdue">
      <formula>NOT(ISERROR(SEARCH("Overdue",D6)))</formula>
    </cfRule>
    <cfRule type="containsText" dxfId="18" priority="13" operator="containsText" text="Complete">
      <formula>NOT(ISERROR(SEARCH("Complete",D6)))</formula>
    </cfRule>
    <cfRule type="containsText" dxfId="17" priority="14" operator="containsText" text="In Progress">
      <formula>NOT(ISERROR(SEARCH("In Progress",D6)))</formula>
    </cfRule>
  </conditionalFormatting>
  <conditionalFormatting sqref="D5">
    <cfRule type="containsText" dxfId="16" priority="1" operator="containsText" text="Approved">
      <formula>NOT(ISERROR(SEARCH("Approved",D5)))</formula>
    </cfRule>
    <cfRule type="containsText" dxfId="15" priority="2" operator="containsText" text="Needs Review">
      <formula>NOT(ISERROR(SEARCH("Needs Review",D5)))</formula>
    </cfRule>
    <cfRule type="containsText" dxfId="14" priority="3" operator="containsText" text="Not Started">
      <formula>NOT(ISERROR(SEARCH("Not Started",D5)))</formula>
    </cfRule>
    <cfRule type="containsText" dxfId="13" priority="4" operator="containsText" text="On Hold">
      <formula>NOT(ISERROR(SEARCH("On Hold",D5)))</formula>
    </cfRule>
    <cfRule type="containsText" dxfId="12" priority="5" operator="containsText" text="Overdue">
      <formula>NOT(ISERROR(SEARCH("Overdue",D5)))</formula>
    </cfRule>
    <cfRule type="containsText" dxfId="11" priority="6" operator="containsText" text="Complete">
      <formula>NOT(ISERROR(SEARCH("Complete",D5)))</formula>
    </cfRule>
    <cfRule type="containsText" dxfId="10" priority="7" operator="containsText" text="In Progress">
      <formula>NOT(ISERROR(SEARCH("In Progress",D5)))</formula>
    </cfRule>
  </conditionalFormatting>
  <pageMargins left="0.3" right="0.3" top="0.3" bottom="0.3" header="0" footer="0"/>
  <pageSetup scale="63" fitToHeight="0" orientation="landscape" horizontalDpi="4294967292" verticalDpi="4294967292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14EDA-12D6-2749-B3F6-EF76459AD42E}">
          <x14:formula1>
            <xm:f>'listas desplegables'!$F$3:$F$11</xm:f>
          </x14:formula1>
          <xm:sqref>D4:D13 D18:D27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F1A8-FE55-D44A-A80C-197932E0CA85}">
  <sheetPr>
    <tabColor theme="0" tint="-0.249977111117893"/>
  </sheetPr>
  <dimension ref="A1:AF61"/>
  <sheetViews>
    <sheetView showGridLines="0" workbookViewId="0">
      <selection activeCell="F5" sqref="F5"/>
    </sheetView>
  </sheetViews>
  <sheetFormatPr baseColWidth="10" defaultRowHeight="15.75" x14ac:dyDescent="0.25"/>
  <cols>
    <col min="1" max="1" width="3.375" style="10" customWidth="1"/>
    <col min="2" max="2" width="10.875" style="10"/>
    <col min="3" max="3" width="3.375" style="10" customWidth="1"/>
    <col min="5" max="5" width="3.375" style="10" customWidth="1"/>
    <col min="6" max="6" width="12.875" customWidth="1"/>
    <col min="7" max="7" width="3.375" style="10" customWidth="1"/>
  </cols>
  <sheetData>
    <row r="1" spans="1:32" s="10" customFormat="1" ht="42" customHeight="1" thickBot="1" x14ac:dyDescent="0.3">
      <c r="B1" s="34" t="s">
        <v>41</v>
      </c>
      <c r="C1" s="8"/>
      <c r="D1" s="8"/>
      <c r="E1" s="8"/>
      <c r="F1" s="8"/>
      <c r="G1" s="8"/>
      <c r="H1" s="8"/>
      <c r="I1" s="8"/>
      <c r="J1" s="8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</row>
    <row r="2" spans="1:32" ht="24.95" customHeight="1" thickTop="1" x14ac:dyDescent="0.25">
      <c r="A2" s="9"/>
      <c r="B2" s="33" t="s">
        <v>29</v>
      </c>
      <c r="C2" s="9"/>
      <c r="D2" s="33" t="s">
        <v>42</v>
      </c>
      <c r="E2" s="9"/>
      <c r="F2" s="33" t="s">
        <v>13</v>
      </c>
      <c r="G2" s="9"/>
    </row>
    <row r="3" spans="1:32" ht="35.1" customHeight="1" x14ac:dyDescent="0.25">
      <c r="A3" s="9"/>
      <c r="B3" s="32" t="s">
        <v>30</v>
      </c>
      <c r="C3" s="9"/>
      <c r="D3" s="31" t="s">
        <v>31</v>
      </c>
      <c r="E3" s="9"/>
      <c r="F3" s="73" t="s">
        <v>34</v>
      </c>
      <c r="G3" s="9"/>
    </row>
    <row r="4" spans="1:32" ht="35.1" customHeight="1" x14ac:dyDescent="0.25">
      <c r="A4" s="9"/>
      <c r="B4" s="30" t="s">
        <v>3</v>
      </c>
      <c r="C4" s="9"/>
      <c r="D4" s="29" t="s">
        <v>32</v>
      </c>
      <c r="E4" s="9"/>
      <c r="F4" s="74" t="s">
        <v>35</v>
      </c>
      <c r="G4" s="9"/>
    </row>
    <row r="5" spans="1:32" ht="35.1" customHeight="1" x14ac:dyDescent="0.25">
      <c r="A5" s="9"/>
      <c r="C5" s="9"/>
      <c r="D5" s="28" t="s">
        <v>33</v>
      </c>
      <c r="E5" s="9"/>
      <c r="F5" s="75" t="s">
        <v>36</v>
      </c>
      <c r="G5" s="9"/>
    </row>
    <row r="6" spans="1:32" ht="35.1" customHeight="1" x14ac:dyDescent="0.3">
      <c r="A6" s="9"/>
      <c r="C6" s="9"/>
      <c r="D6" s="24"/>
      <c r="E6" s="9"/>
      <c r="F6" s="27" t="s">
        <v>39</v>
      </c>
      <c r="G6" s="9"/>
    </row>
    <row r="7" spans="1:32" ht="35.1" customHeight="1" x14ac:dyDescent="0.3">
      <c r="A7" s="9"/>
      <c r="C7" s="9"/>
      <c r="D7" s="24"/>
      <c r="E7" s="9"/>
      <c r="F7" s="26" t="s">
        <v>37</v>
      </c>
      <c r="G7" s="9"/>
    </row>
    <row r="8" spans="1:32" ht="35.1" customHeight="1" x14ac:dyDescent="0.25">
      <c r="A8" s="9"/>
      <c r="C8" s="9"/>
      <c r="E8" s="9"/>
      <c r="F8" s="18" t="s">
        <v>38</v>
      </c>
      <c r="G8" s="9"/>
    </row>
    <row r="9" spans="1:32" ht="35.1" customHeight="1" x14ac:dyDescent="0.25">
      <c r="A9" s="9"/>
      <c r="B9" s="9"/>
      <c r="C9" s="9"/>
      <c r="E9" s="9"/>
      <c r="F9" s="25" t="s">
        <v>40</v>
      </c>
      <c r="G9" s="9"/>
    </row>
    <row r="10" spans="1:32" ht="35.1" customHeight="1" x14ac:dyDescent="0.3">
      <c r="A10" s="9"/>
      <c r="B10" s="9"/>
      <c r="C10" s="9"/>
      <c r="D10" s="24"/>
      <c r="E10" s="9"/>
      <c r="F10" s="17"/>
      <c r="G10" s="9"/>
    </row>
    <row r="11" spans="1:32" ht="35.1" customHeight="1" x14ac:dyDescent="0.3">
      <c r="A11" s="9"/>
      <c r="B11" s="9"/>
      <c r="C11" s="9"/>
      <c r="D11" s="24"/>
      <c r="E11" s="9"/>
      <c r="F11" s="17"/>
      <c r="G11" s="9"/>
    </row>
    <row r="12" spans="1:32" ht="16.5" x14ac:dyDescent="0.3">
      <c r="A12" s="9"/>
      <c r="B12" s="9"/>
      <c r="C12" s="9"/>
      <c r="D12" s="24"/>
      <c r="E12" s="9"/>
      <c r="F12" s="24"/>
      <c r="G12" s="9"/>
    </row>
    <row r="13" spans="1:32" ht="16.5" x14ac:dyDescent="0.3">
      <c r="A13" s="9"/>
      <c r="B13" s="9"/>
      <c r="C13" s="9"/>
      <c r="D13" s="24"/>
      <c r="E13" s="9"/>
      <c r="F13" s="24"/>
      <c r="G13" s="9"/>
    </row>
    <row r="14" spans="1:32" ht="16.5" x14ac:dyDescent="0.3">
      <c r="A14" s="9"/>
      <c r="B14" s="9"/>
      <c r="C14" s="9"/>
      <c r="D14" s="24"/>
      <c r="E14" s="9"/>
      <c r="F14" s="24"/>
      <c r="G14" s="9"/>
    </row>
    <row r="15" spans="1:32" ht="16.5" x14ac:dyDescent="0.3">
      <c r="A15" s="9"/>
      <c r="B15" s="9"/>
      <c r="C15" s="9"/>
      <c r="D15" s="24"/>
      <c r="E15" s="9"/>
      <c r="F15" s="24"/>
      <c r="G15" s="9"/>
    </row>
    <row r="16" spans="1:32" ht="16.5" x14ac:dyDescent="0.3">
      <c r="A16" s="9"/>
      <c r="B16" s="9"/>
      <c r="C16" s="9"/>
      <c r="D16" s="24"/>
      <c r="E16" s="9"/>
      <c r="F16" s="24"/>
      <c r="G16" s="9"/>
    </row>
    <row r="17" spans="1:7" ht="16.5" x14ac:dyDescent="0.3">
      <c r="A17" s="9"/>
      <c r="B17" s="9"/>
      <c r="C17" s="9"/>
      <c r="D17" s="24"/>
      <c r="E17" s="9"/>
      <c r="G17" s="9"/>
    </row>
    <row r="18" spans="1:7" ht="16.5" x14ac:dyDescent="0.3">
      <c r="A18" s="9"/>
      <c r="B18" s="9"/>
      <c r="C18" s="9"/>
      <c r="D18" s="24"/>
      <c r="E18" s="9"/>
      <c r="G18" s="9"/>
    </row>
    <row r="19" spans="1:7" ht="16.5" x14ac:dyDescent="0.3">
      <c r="A19" s="9"/>
      <c r="B19" s="9"/>
      <c r="C19" s="9"/>
      <c r="D19" s="24"/>
      <c r="E19" s="9"/>
      <c r="G19" s="9"/>
    </row>
    <row r="20" spans="1:7" ht="16.5" x14ac:dyDescent="0.3">
      <c r="A20" s="9"/>
      <c r="B20" s="9"/>
      <c r="C20" s="9"/>
      <c r="D20" s="24"/>
      <c r="E20" s="9"/>
      <c r="G20" s="9"/>
    </row>
    <row r="21" spans="1:7" ht="16.5" x14ac:dyDescent="0.3">
      <c r="A21" s="9"/>
      <c r="B21" s="9"/>
      <c r="C21" s="9"/>
      <c r="D21" s="24"/>
      <c r="E21" s="9"/>
      <c r="G21" s="9"/>
    </row>
    <row r="22" spans="1:7" ht="16.5" x14ac:dyDescent="0.3">
      <c r="A22" s="9"/>
      <c r="B22" s="9"/>
      <c r="C22" s="9"/>
      <c r="D22" s="24"/>
      <c r="E22" s="9"/>
      <c r="G22" s="9"/>
    </row>
    <row r="23" spans="1:7" ht="16.5" x14ac:dyDescent="0.3">
      <c r="A23" s="9"/>
      <c r="B23" s="9"/>
      <c r="C23" s="9"/>
      <c r="D23" s="24"/>
      <c r="E23" s="9"/>
      <c r="G23" s="9"/>
    </row>
    <row r="24" spans="1:7" ht="16.5" x14ac:dyDescent="0.3">
      <c r="A24" s="9"/>
      <c r="B24" s="9"/>
      <c r="C24" s="9"/>
      <c r="D24" s="24"/>
      <c r="E24" s="9"/>
      <c r="G24" s="9"/>
    </row>
    <row r="25" spans="1:7" ht="16.5" x14ac:dyDescent="0.3">
      <c r="A25" s="9"/>
      <c r="B25" s="9"/>
      <c r="C25" s="9"/>
      <c r="D25" s="24"/>
      <c r="E25" s="9"/>
      <c r="G25" s="9"/>
    </row>
    <row r="26" spans="1:7" ht="16.5" x14ac:dyDescent="0.3">
      <c r="A26" s="9"/>
      <c r="B26" s="9"/>
      <c r="C26" s="9"/>
      <c r="D26" s="24"/>
      <c r="E26" s="9"/>
      <c r="G26" s="9"/>
    </row>
    <row r="27" spans="1:7" ht="16.5" x14ac:dyDescent="0.3">
      <c r="A27" s="9"/>
      <c r="B27" s="9"/>
      <c r="C27" s="9"/>
      <c r="D27" s="24"/>
      <c r="E27" s="9"/>
      <c r="G27" s="9"/>
    </row>
    <row r="28" spans="1:7" ht="16.5" x14ac:dyDescent="0.3">
      <c r="A28" s="9"/>
      <c r="B28" s="9"/>
      <c r="C28" s="9"/>
      <c r="D28" s="24"/>
      <c r="E28" s="9"/>
      <c r="G28" s="9"/>
    </row>
    <row r="29" spans="1:7" ht="16.5" x14ac:dyDescent="0.3">
      <c r="A29" s="9"/>
      <c r="B29" s="9"/>
      <c r="C29" s="9"/>
      <c r="D29" s="24"/>
      <c r="E29" s="9"/>
      <c r="G29" s="9"/>
    </row>
    <row r="30" spans="1:7" ht="16.5" x14ac:dyDescent="0.3">
      <c r="A30" s="9"/>
      <c r="B30" s="9"/>
      <c r="C30" s="9"/>
      <c r="D30" s="24"/>
      <c r="E30" s="9"/>
      <c r="G30" s="9"/>
    </row>
    <row r="31" spans="1:7" ht="16.5" x14ac:dyDescent="0.3">
      <c r="A31" s="9"/>
      <c r="B31" s="9"/>
      <c r="C31" s="9"/>
      <c r="D31" s="24"/>
      <c r="E31" s="9"/>
      <c r="G31" s="9"/>
    </row>
    <row r="32" spans="1:7" ht="16.5" x14ac:dyDescent="0.3">
      <c r="A32"/>
      <c r="B32"/>
      <c r="C32"/>
      <c r="D32" s="24"/>
      <c r="E32"/>
      <c r="G32"/>
    </row>
    <row r="33" spans="1:7" x14ac:dyDescent="0.25">
      <c r="A33" s="9"/>
      <c r="B33" s="9"/>
      <c r="C33" s="9"/>
      <c r="E33" s="9"/>
      <c r="G33" s="9"/>
    </row>
    <row r="34" spans="1:7" x14ac:dyDescent="0.25">
      <c r="A34" s="9"/>
      <c r="B34" s="9"/>
      <c r="C34" s="9"/>
      <c r="E34" s="9"/>
      <c r="G34" s="9"/>
    </row>
    <row r="35" spans="1:7" x14ac:dyDescent="0.25">
      <c r="A35" s="9"/>
      <c r="B35" s="9"/>
      <c r="C35" s="9"/>
      <c r="E35" s="9"/>
      <c r="G35" s="9"/>
    </row>
    <row r="36" spans="1:7" x14ac:dyDescent="0.25">
      <c r="A36" s="9"/>
      <c r="B36" s="9"/>
      <c r="C36" s="9"/>
      <c r="E36" s="9"/>
      <c r="G36" s="9"/>
    </row>
    <row r="37" spans="1:7" x14ac:dyDescent="0.25">
      <c r="A37" s="9"/>
      <c r="B37" s="9"/>
      <c r="C37" s="9"/>
      <c r="E37" s="9"/>
      <c r="G37" s="9"/>
    </row>
    <row r="38" spans="1:7" x14ac:dyDescent="0.25">
      <c r="A38" s="9"/>
      <c r="B38" s="9"/>
      <c r="C38" s="9"/>
      <c r="E38" s="9"/>
      <c r="G38" s="9"/>
    </row>
    <row r="39" spans="1:7" x14ac:dyDescent="0.25">
      <c r="A39" s="9"/>
      <c r="B39" s="9"/>
      <c r="C39" s="9"/>
      <c r="E39" s="9"/>
      <c r="G39" s="9"/>
    </row>
    <row r="40" spans="1:7" x14ac:dyDescent="0.25">
      <c r="A40" s="9"/>
      <c r="B40" s="9"/>
      <c r="C40" s="9"/>
      <c r="E40" s="9"/>
      <c r="G40" s="9"/>
    </row>
    <row r="41" spans="1:7" x14ac:dyDescent="0.25">
      <c r="A41" s="9"/>
      <c r="B41" s="9"/>
      <c r="C41" s="9"/>
      <c r="E41" s="9"/>
      <c r="G41" s="9"/>
    </row>
    <row r="42" spans="1:7" x14ac:dyDescent="0.25">
      <c r="A42" s="9"/>
      <c r="B42" s="9"/>
      <c r="C42" s="9"/>
      <c r="E42" s="9"/>
      <c r="G42" s="9"/>
    </row>
    <row r="43" spans="1:7" x14ac:dyDescent="0.25">
      <c r="A43" s="9"/>
      <c r="B43" s="9"/>
      <c r="C43" s="9"/>
      <c r="E43" s="9"/>
      <c r="G43" s="9"/>
    </row>
    <row r="44" spans="1:7" x14ac:dyDescent="0.25">
      <c r="A44" s="9"/>
      <c r="B44" s="9"/>
      <c r="C44" s="9"/>
      <c r="E44" s="9"/>
      <c r="G44" s="9"/>
    </row>
    <row r="45" spans="1:7" x14ac:dyDescent="0.25">
      <c r="A45" s="9"/>
      <c r="B45" s="9"/>
      <c r="C45" s="9"/>
      <c r="E45" s="9"/>
      <c r="G45" s="9"/>
    </row>
    <row r="46" spans="1:7" x14ac:dyDescent="0.25">
      <c r="A46" s="9"/>
      <c r="B46" s="9"/>
      <c r="C46" s="9"/>
      <c r="E46" s="9"/>
      <c r="G46" s="9"/>
    </row>
    <row r="47" spans="1:7" x14ac:dyDescent="0.25">
      <c r="A47" s="9"/>
      <c r="B47" s="9"/>
      <c r="C47" s="9"/>
      <c r="E47" s="9"/>
      <c r="G47" s="9"/>
    </row>
    <row r="48" spans="1:7" x14ac:dyDescent="0.25">
      <c r="A48" s="9"/>
      <c r="B48" s="9"/>
      <c r="C48" s="9"/>
      <c r="E48" s="9"/>
      <c r="G48" s="9"/>
    </row>
    <row r="49" spans="1:7" x14ac:dyDescent="0.25">
      <c r="A49" s="9"/>
      <c r="B49" s="9"/>
      <c r="C49" s="9"/>
      <c r="E49" s="9"/>
      <c r="G49" s="9"/>
    </row>
    <row r="50" spans="1:7" x14ac:dyDescent="0.25">
      <c r="A50" s="9"/>
      <c r="B50" s="9"/>
      <c r="C50" s="9"/>
      <c r="E50" s="9"/>
      <c r="G50" s="9"/>
    </row>
    <row r="51" spans="1:7" x14ac:dyDescent="0.25">
      <c r="A51" s="9"/>
      <c r="B51" s="9"/>
      <c r="C51" s="9"/>
      <c r="E51" s="9"/>
      <c r="G51" s="9"/>
    </row>
    <row r="52" spans="1:7" x14ac:dyDescent="0.25">
      <c r="A52" s="9"/>
      <c r="B52" s="9"/>
      <c r="C52" s="9"/>
      <c r="E52" s="9"/>
      <c r="G52" s="9"/>
    </row>
    <row r="53" spans="1:7" x14ac:dyDescent="0.25">
      <c r="A53" s="9"/>
      <c r="B53" s="9"/>
      <c r="C53" s="9"/>
      <c r="E53" s="9"/>
      <c r="G53" s="9"/>
    </row>
    <row r="54" spans="1:7" x14ac:dyDescent="0.25">
      <c r="A54" s="9"/>
      <c r="B54" s="9"/>
      <c r="C54" s="9"/>
      <c r="E54" s="9"/>
      <c r="G54" s="9"/>
    </row>
    <row r="55" spans="1:7" x14ac:dyDescent="0.25">
      <c r="A55" s="9"/>
      <c r="B55" s="9"/>
      <c r="C55" s="9"/>
      <c r="E55" s="9"/>
      <c r="G55" s="9"/>
    </row>
    <row r="56" spans="1:7" x14ac:dyDescent="0.25">
      <c r="A56" s="9"/>
      <c r="B56" s="9"/>
      <c r="C56" s="9"/>
      <c r="E56" s="9"/>
      <c r="G56" s="9"/>
    </row>
    <row r="57" spans="1:7" x14ac:dyDescent="0.25">
      <c r="A57" s="9"/>
      <c r="B57" s="9"/>
      <c r="C57" s="9"/>
      <c r="E57" s="9"/>
      <c r="G57" s="9"/>
    </row>
    <row r="58" spans="1:7" x14ac:dyDescent="0.25">
      <c r="A58" s="9"/>
      <c r="B58" s="9"/>
      <c r="C58" s="9"/>
      <c r="E58" s="9"/>
      <c r="G58" s="9"/>
    </row>
    <row r="59" spans="1:7" x14ac:dyDescent="0.25">
      <c r="A59" s="9"/>
      <c r="B59" s="9"/>
      <c r="C59" s="9"/>
      <c r="E59" s="9"/>
      <c r="G59" s="9"/>
    </row>
    <row r="60" spans="1:7" x14ac:dyDescent="0.25">
      <c r="A60" s="9"/>
      <c r="B60" s="9"/>
      <c r="C60" s="9"/>
      <c r="E60" s="9"/>
      <c r="G60" s="9"/>
    </row>
    <row r="61" spans="1:7" x14ac:dyDescent="0.25">
      <c r="A61" s="9"/>
      <c r="B61" s="9"/>
      <c r="C61" s="9"/>
      <c r="E61" s="9"/>
      <c r="G61" s="9"/>
    </row>
  </sheetData>
  <conditionalFormatting sqref="D3:D5">
    <cfRule type="containsText" dxfId="9" priority="9" operator="containsText" text="Low">
      <formula>NOT(ISERROR(SEARCH("Low",D3)))</formula>
    </cfRule>
    <cfRule type="containsText" dxfId="8" priority="10" operator="containsText" text="Medium">
      <formula>NOT(ISERROR(SEARCH("Medium",D3)))</formula>
    </cfRule>
    <cfRule type="containsText" dxfId="7" priority="11" operator="containsText" text="High">
      <formula>NOT(ISERROR(SEARCH("High",D3)))</formula>
    </cfRule>
  </conditionalFormatting>
  <conditionalFormatting sqref="F3:F11">
    <cfRule type="containsText" dxfId="6" priority="8" operator="containsText" text="Approved">
      <formula>NOT(ISERROR(SEARCH("Approved",F3)))</formula>
    </cfRule>
    <cfRule type="containsText" dxfId="5" priority="12" operator="containsText" text="Needs Review">
      <formula>NOT(ISERROR(SEARCH("Needs Review",F3)))</formula>
    </cfRule>
    <cfRule type="containsText" dxfId="4" priority="13" operator="containsText" text="Not Started">
      <formula>NOT(ISERROR(SEARCH("Not Started",F3)))</formula>
    </cfRule>
    <cfRule type="containsText" dxfId="3" priority="14" operator="containsText" text="On Hold">
      <formula>NOT(ISERROR(SEARCH("On Hold",F3)))</formula>
    </cfRule>
    <cfRule type="containsText" dxfId="2" priority="15" operator="containsText" text="Overdue">
      <formula>NOT(ISERROR(SEARCH("Overdue",F3)))</formula>
    </cfRule>
    <cfRule type="containsText" dxfId="1" priority="16" operator="containsText" text="Complete">
      <formula>NOT(ISERROR(SEARCH("Complete",F3)))</formula>
    </cfRule>
    <cfRule type="containsText" dxfId="0" priority="17" operator="containsText" text="In Progress">
      <formula>NOT(ISERROR(SEARCH("In Progress",F3)))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Presupuesto del proyecto</vt:lpstr>
      <vt:lpstr>listas desplegables</vt:lpstr>
      <vt:lpstr>'Presupuesto del proyecto'!Área_de_impresión</vt:lpstr>
      <vt:lpstr>Status</vt:lpstr>
      <vt:lpstr>YesNo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Bess</dc:creator>
  <cp:lastModifiedBy>Salas Didacticas Sede Bogota</cp:lastModifiedBy>
  <cp:lastPrinted>2022-01-31T23:51:04Z</cp:lastPrinted>
  <dcterms:created xsi:type="dcterms:W3CDTF">2015-08-28T20:34:30Z</dcterms:created>
  <dcterms:modified xsi:type="dcterms:W3CDTF">2026-03-14T17:31:38Z</dcterms:modified>
</cp:coreProperties>
</file>