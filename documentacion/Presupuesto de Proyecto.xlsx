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imja\OneDrive\Documents\2026-1\gestion\"/>
    </mc:Choice>
  </mc:AlternateContent>
  <xr:revisionPtr revIDLastSave="0" documentId="13_ncr:1_{905FED3D-4C64-45E6-860E-6FF1CE9DD7A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esupuesto del proyecto" sheetId="6" r:id="rId1"/>
    <sheet name="listas desplegables" sheetId="3" r:id="rId2"/>
  </sheets>
  <externalReferences>
    <externalReference r:id="rId3"/>
    <externalReference r:id="rId4"/>
  </externalReferences>
  <definedNames>
    <definedName name="_xlnm.Print_Area" localSheetId="0">'Presupuesto del proyecto'!$B$1:$S$28</definedName>
    <definedName name="Priority">#REF!</definedName>
    <definedName name="Status">'listas desplegables'!$D$5:$D$7</definedName>
    <definedName name="Type" localSheetId="1">'[1]Risk Assessment &amp; Control'!#REF!</definedName>
    <definedName name="Type">'[2]Maintenance Work Order'!#REF!</definedName>
    <definedName name="YesNo">'listas desplegables'!$B$5:$B$6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6" i="6" l="1"/>
  <c r="J7" i="6"/>
  <c r="Q7" i="6" s="1"/>
  <c r="S7" i="6" s="1"/>
  <c r="J8" i="6"/>
  <c r="Q8" i="6" s="1"/>
  <c r="S8" i="6" s="1"/>
  <c r="J9" i="6"/>
  <c r="J10" i="6"/>
  <c r="J11" i="6"/>
  <c r="J12" i="6"/>
  <c r="J13" i="6"/>
  <c r="J14" i="6"/>
  <c r="J15" i="6"/>
  <c r="J16" i="6"/>
  <c r="J17" i="6"/>
  <c r="J18" i="6"/>
  <c r="Q18" i="6" s="1"/>
  <c r="S18" i="6" s="1"/>
  <c r="J19" i="6"/>
  <c r="Q19" i="6" s="1"/>
  <c r="S19" i="6" s="1"/>
  <c r="J20" i="6"/>
  <c r="Q20" i="6" s="1"/>
  <c r="S20" i="6" s="1"/>
  <c r="J21" i="6"/>
  <c r="Q21" i="6" s="1"/>
  <c r="S21" i="6" s="1"/>
  <c r="J22" i="6"/>
  <c r="J23" i="6"/>
  <c r="J24" i="6"/>
  <c r="J25" i="6"/>
  <c r="J26" i="6"/>
  <c r="J27" i="6"/>
  <c r="J28" i="6"/>
  <c r="J29" i="6"/>
  <c r="Q29" i="6" s="1"/>
  <c r="S29" i="6" s="1"/>
  <c r="J30" i="6"/>
  <c r="Q30" i="6" s="1"/>
  <c r="S30" i="6" s="1"/>
  <c r="J31" i="6"/>
  <c r="Q31" i="6" s="1"/>
  <c r="S31" i="6" s="1"/>
  <c r="J32" i="6"/>
  <c r="Q32" i="6" s="1"/>
  <c r="S32" i="6" s="1"/>
  <c r="J33" i="6"/>
  <c r="Q33" i="6" s="1"/>
  <c r="S33" i="6" s="1"/>
  <c r="J34" i="6"/>
  <c r="Q34" i="6" s="1"/>
  <c r="S34" i="6" s="1"/>
  <c r="J35" i="6"/>
  <c r="Q35" i="6" s="1"/>
  <c r="S35" i="6" s="1"/>
  <c r="J36" i="6"/>
  <c r="Q36" i="6" s="1"/>
  <c r="S36" i="6" s="1"/>
  <c r="J37" i="6"/>
  <c r="J38" i="6"/>
  <c r="J39" i="6"/>
  <c r="J40" i="6"/>
  <c r="J41" i="6"/>
  <c r="J42" i="6"/>
  <c r="J43" i="6"/>
  <c r="J44" i="6"/>
  <c r="J45" i="6"/>
  <c r="J46" i="6"/>
  <c r="J47" i="6"/>
  <c r="J48" i="6"/>
  <c r="Q48" i="6" s="1"/>
  <c r="S48" i="6" s="1"/>
  <c r="J49" i="6"/>
  <c r="Q49" i="6" s="1"/>
  <c r="S49" i="6" s="1"/>
  <c r="J50" i="6"/>
  <c r="Q50" i="6" s="1"/>
  <c r="S50" i="6" s="1"/>
  <c r="J51" i="6"/>
  <c r="Q51" i="6" s="1"/>
  <c r="S51" i="6" s="1"/>
  <c r="J52" i="6"/>
  <c r="Q52" i="6" s="1"/>
  <c r="S52" i="6" s="1"/>
  <c r="J5" i="6"/>
  <c r="J53" i="6" s="1"/>
  <c r="K53" i="6"/>
  <c r="L53" i="6"/>
  <c r="M53" i="6"/>
  <c r="N53" i="6"/>
  <c r="O53" i="6"/>
  <c r="P53" i="6"/>
  <c r="I53" i="6"/>
  <c r="Q13" i="6"/>
  <c r="S13" i="6" s="1"/>
  <c r="Q37" i="6"/>
  <c r="S37" i="6" s="1"/>
  <c r="Q6" i="6"/>
  <c r="S6" i="6" s="1"/>
  <c r="Q9" i="6"/>
  <c r="Q10" i="6"/>
  <c r="Q11" i="6"/>
  <c r="Q12" i="6"/>
  <c r="S12" i="6" s="1"/>
  <c r="Q14" i="6"/>
  <c r="Q15" i="6"/>
  <c r="S15" i="6" s="1"/>
  <c r="Q16" i="6"/>
  <c r="S16" i="6" s="1"/>
  <c r="Q17" i="6"/>
  <c r="S17" i="6" s="1"/>
  <c r="Q22" i="6"/>
  <c r="S22" i="6" s="1"/>
  <c r="Q23" i="6"/>
  <c r="S23" i="6" s="1"/>
  <c r="Q24" i="6"/>
  <c r="S24" i="6" s="1"/>
  <c r="Q25" i="6"/>
  <c r="S25" i="6" s="1"/>
  <c r="Q26" i="6"/>
  <c r="S26" i="6" s="1"/>
  <c r="Q27" i="6"/>
  <c r="S27" i="6" s="1"/>
  <c r="Q28" i="6"/>
  <c r="S28" i="6" s="1"/>
  <c r="Q38" i="6"/>
  <c r="S38" i="6" s="1"/>
  <c r="Q39" i="6"/>
  <c r="S39" i="6" s="1"/>
  <c r="Q40" i="6"/>
  <c r="S40" i="6" s="1"/>
  <c r="Q41" i="6"/>
  <c r="S41" i="6" s="1"/>
  <c r="Q42" i="6"/>
  <c r="S42" i="6" s="1"/>
  <c r="Q43" i="6"/>
  <c r="S43" i="6" s="1"/>
  <c r="Q44" i="6"/>
  <c r="S44" i="6" s="1"/>
  <c r="Q45" i="6"/>
  <c r="S45" i="6" s="1"/>
  <c r="Q46" i="6"/>
  <c r="S46" i="6" s="1"/>
  <c r="Q47" i="6"/>
  <c r="S47" i="6" s="1"/>
  <c r="S9" i="6"/>
  <c r="S10" i="6"/>
  <c r="S11" i="6"/>
  <c r="Q5" i="6" l="1"/>
  <c r="S14" i="6"/>
  <c r="S5" i="6" l="1"/>
  <c r="S53" i="6" s="1"/>
  <c r="Q53" i="6"/>
</calcChain>
</file>

<file path=xl/sharedStrings.xml><?xml version="1.0" encoding="utf-8"?>
<sst xmlns="http://schemas.openxmlformats.org/spreadsheetml/2006/main" count="186" uniqueCount="137">
  <si>
    <t>PROJECT 1</t>
  </si>
  <si>
    <t>No</t>
  </si>
  <si>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</si>
  <si>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</si>
  <si>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</si>
  <si>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</si>
  <si>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</si>
  <si>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</si>
  <si>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</si>
  <si>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</si>
  <si>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</si>
  <si>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</si>
  <si>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</si>
  <si>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</si>
  <si>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</si>
  <si>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</si>
  <si>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</si>
  <si>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</si>
  <si>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</si>
  <si>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</si>
  <si>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</si>
  <si>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</si>
  <si>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</si>
  <si>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</si>
  <si>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</si>
  <si>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</si>
  <si>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SI / NO</t>
  </si>
  <si>
    <t>Si</t>
  </si>
  <si>
    <t>Baja</t>
  </si>
  <si>
    <t>Media</t>
  </si>
  <si>
    <t>Alta</t>
  </si>
  <si>
    <t>No Iniciado</t>
  </si>
  <si>
    <t>En Progreso</t>
  </si>
  <si>
    <t>Completo</t>
  </si>
  <si>
    <t>Aprobado</t>
  </si>
  <si>
    <t>Atrasado</t>
  </si>
  <si>
    <t>Requiere Revisión</t>
  </si>
  <si>
    <t>En Espera</t>
  </si>
  <si>
    <t>listas desplegables</t>
  </si>
  <si>
    <t>PRIORIDAD</t>
  </si>
  <si>
    <t>integrantes: Mayra Salamanca, Nicolas Melo, Ivan Baquero</t>
  </si>
  <si>
    <t>Definición de la idea del proyecto</t>
  </si>
  <si>
    <t>Redacción del propósito del proyecto</t>
  </si>
  <si>
    <t>Redacción de la justificación del proyecto</t>
  </si>
  <si>
    <t>Redacción de la descripción del proyecto</t>
  </si>
  <si>
    <t>Definición de entregables del proyecto</t>
  </si>
  <si>
    <t>Elaboración de requerimientos del producto</t>
  </si>
  <si>
    <t>Elaboración de requerimientos del proyecto</t>
  </si>
  <si>
    <t>Redacción del objetivo general y objetivos específicos</t>
  </si>
  <si>
    <t>Elaboración del acta de inicio</t>
  </si>
  <si>
    <t>Elaboración de EDT</t>
  </si>
  <si>
    <t>Elaboración del cronograma</t>
  </si>
  <si>
    <t>Elaboración del presupuesto del proyecto</t>
  </si>
  <si>
    <t>Elaboración de la matriz RACI</t>
  </si>
  <si>
    <t>Elaboración de la matriz de riesgos</t>
  </si>
  <si>
    <t>Creación del repositorio en GitHub</t>
  </si>
  <si>
    <t>Organización de carpetas y archivos del proyecto</t>
  </si>
  <si>
    <t>Subida de documentos iniciales al repositorio</t>
  </si>
  <si>
    <t>Revisión general de entregables iniciales</t>
  </si>
  <si>
    <t>Definición de la historia del videojuego</t>
  </si>
  <si>
    <t>Definición de los minijuegos y su secuencia</t>
  </si>
  <si>
    <t>Diseño del mapa principal</t>
  </si>
  <si>
    <t>Diseño de personajes y NPC</t>
  </si>
  <si>
    <t>Diseño de interfaz y mensajes</t>
  </si>
  <si>
    <t>Diseño lógico del minijuego de arrays</t>
  </si>
  <si>
    <t>Diseño lógico del minijuego de variables</t>
  </si>
  <si>
    <t>Diseño lógico de los minijuegos de código y algoritmos</t>
  </si>
  <si>
    <t>Configuración inicial del proyecto en GameMaker</t>
  </si>
  <si>
    <t>Creación del mapa principal en GameMaker</t>
  </si>
  <si>
    <t>Programación del movimiento del personaje</t>
  </si>
  <si>
    <t>Programación de colisiones e interacción básica</t>
  </si>
  <si>
    <t>Programación de diálogos y explicaciones previas</t>
  </si>
  <si>
    <t>Desarrollo del minijuego de arrays</t>
  </si>
  <si>
    <t>Desarrollo del minijuego de variables</t>
  </si>
  <si>
    <t>Desarrollo del minijuego de completar código</t>
  </si>
  <si>
    <t>Desarrollo del minijuego de algoritmos</t>
  </si>
  <si>
    <t>Integración de minijuegos al mapa principal</t>
  </si>
  <si>
    <t>Actualización del repositorio GitHub con avances</t>
  </si>
  <si>
    <t>Pruebas del mapa principal y movimiento</t>
  </si>
  <si>
    <t>Pruebas del minijuego de arrays</t>
  </si>
  <si>
    <t>Pruebas del minijuego de variables</t>
  </si>
  <si>
    <t>Pruebas del minijuego de completar código</t>
  </si>
  <si>
    <t>Pruebas del minijuego de algoritmos</t>
  </si>
  <si>
    <t>Corrección de errores y ajustes finales</t>
  </si>
  <si>
    <t>Organización de evidencias del desarrollo</t>
  </si>
  <si>
    <t>Ajuste de documentación final</t>
  </si>
  <si>
    <t>Preparación de presentación final</t>
  </si>
  <si>
    <t>Revisión final del repositorio y archivos</t>
  </si>
  <si>
    <t>Entrega final del proyecto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</si>
  <si>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</si>
  <si>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</si>
  <si>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</si>
  <si>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</si>
  <si>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</si>
  <si>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</si>
  <si>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</si>
  <si>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</si>
  <si>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</si>
  <si>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</si>
  <si>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</si>
  <si>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2.1</t>
  </si>
  <si>
    <t>2.2</t>
  </si>
  <si>
    <t>2.3</t>
  </si>
  <si>
    <t>2.4</t>
  </si>
  <si>
    <t>2.5</t>
  </si>
  <si>
    <t>2.6</t>
  </si>
  <si>
    <t>2.7</t>
  </si>
  <si>
    <t>3.1</t>
  </si>
  <si>
    <t>3.2</t>
  </si>
  <si>
    <t>3.3</t>
  </si>
  <si>
    <t>3.4</t>
  </si>
  <si>
    <t>3.5</t>
  </si>
  <si>
    <t>3.6</t>
  </si>
  <si>
    <t>3.7</t>
  </si>
  <si>
    <t>3.8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</si>
  <si>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</si>
  <si>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</si>
  <si>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</si>
  <si>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</si>
  <si>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</si>
  <si>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</si>
  <si>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</si>
  <si>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</si>
  <si>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</si>
  <si>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</si>
  <si>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</si>
  <si>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5.1</t>
  </si>
  <si>
    <t>5.2</t>
  </si>
  <si>
    <t>5.3</t>
  </si>
  <si>
    <t>5.4</t>
  </si>
  <si>
    <t>5.5</t>
  </si>
  <si>
    <t>5.6</t>
  </si>
  <si>
    <t>6.1</t>
  </si>
  <si>
    <t>6.2</t>
  </si>
  <si>
    <t>6.3</t>
  </si>
  <si>
    <t>6.4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</si>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</sst>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\(&quot;$&quot;#,##0\)"/>
    <numFmt numFmtId="165" formatCode="&quot;$&quot;#,##0.00_);\(&quot;$&quot;#,##0.00\)"/>
    <numFmt numFmtId="166" formatCode="_(&quot;$&quot;* #,##0.00_);_(&quot;$&quot;* \(#,##0.00\);_(&quot;$&quot;* &quot;-&quot;??_);_(@_)"/>
    <numFmt numFmtId="167" formatCode="0.0"/>
    <numFmt numFmtId="168" formatCode="mm/dd/yy;@"/>
    <numFmt numFmtId="169" formatCode="_(&quot;$&quot;* #,##0_);_(&quot;$&quot;* \(#,##0\);_(&quot;$&quot;* &quot;-&quot;??_);_(@_)"/>
    <numFmt numFmtId="170" formatCode="&quot;$&quot;\ #,##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 style="double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6" tint="-0.499984740745262"/>
      </right>
      <top/>
      <bottom style="thin">
        <color theme="6"/>
      </bottom>
      <diagonal/>
    </border>
    <border>
      <left style="medium">
        <color theme="2" tint="-0.749992370372631"/>
      </left>
      <right style="medium">
        <color theme="6" tint="-0.499984740745262"/>
      </right>
      <top style="thin">
        <color theme="6"/>
      </top>
      <bottom style="thin">
        <color theme="6"/>
      </bottom>
      <diagonal/>
    </border>
    <border>
      <left style="medium">
        <color theme="2" tint="-0.749992370372631"/>
      </left>
      <right style="medium">
        <color theme="6" tint="-0.499984740745262"/>
      </right>
      <top style="thin">
        <color theme="6"/>
      </top>
      <bottom/>
      <diagonal/>
    </border>
    <border>
      <left style="medium">
        <color theme="2" tint="-0.749992370372631"/>
      </left>
      <right style="medium">
        <color theme="6" tint="-0.499984740745262"/>
      </right>
      <top style="thin">
        <color theme="6"/>
      </top>
      <bottom style="medium">
        <color theme="2" tint="-0.749992370372631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thin">
        <color indexed="64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indexed="64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thin">
        <color theme="0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0" tint="-0.499984740745262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 style="thin">
        <color indexed="64"/>
      </top>
      <bottom style="medium">
        <color theme="2" tint="-0.749992370372631"/>
      </bottom>
      <diagonal/>
    </border>
  </borders>
  <cellStyleXfs count="8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</cellStyleXfs>
  <cellXfs count="85">
    <xf numFmtId="0" fontId="0" fillId="0" borderId="0" xfId="0"/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8" fontId="9" fillId="5" borderId="1" xfId="0" applyNumberFormat="1" applyFont="1" applyFill="1" applyBorder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11" fillId="0" borderId="0" xfId="0" applyFont="1"/>
    <xf numFmtId="0" fontId="4" fillId="6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left" vertical="center" wrapText="1" indent="1"/>
    </xf>
    <xf numFmtId="0" fontId="4" fillId="10" borderId="1" xfId="0" applyFont="1" applyFill="1" applyBorder="1" applyAlignment="1">
      <alignment horizontal="left" vertical="center" wrapText="1" indent="1"/>
    </xf>
    <xf numFmtId="0" fontId="8" fillId="11" borderId="1" xfId="0" applyFont="1" applyFill="1" applyBorder="1" applyAlignment="1">
      <alignment horizontal="left" vertical="center" indent="1"/>
    </xf>
    <xf numFmtId="0" fontId="8" fillId="12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 indent="1"/>
    </xf>
    <xf numFmtId="0" fontId="8" fillId="14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9" fillId="2" borderId="2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165" fontId="9" fillId="5" borderId="1" xfId="1" applyNumberFormat="1" applyFont="1" applyFill="1" applyBorder="1" applyAlignment="1" applyProtection="1">
      <alignment vertical="center"/>
      <protection locked="0"/>
    </xf>
    <xf numFmtId="0" fontId="15" fillId="3" borderId="0" xfId="0" applyFont="1" applyFill="1" applyAlignment="1">
      <alignment vertical="center"/>
    </xf>
    <xf numFmtId="164" fontId="9" fillId="5" borderId="1" xfId="0" applyNumberFormat="1" applyFont="1" applyFill="1" applyBorder="1" applyAlignment="1" applyProtection="1">
      <alignment vertical="center"/>
      <protection locked="0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167" fontId="10" fillId="5" borderId="8" xfId="0" applyNumberFormat="1" applyFont="1" applyFill="1" applyBorder="1" applyAlignment="1" applyProtection="1">
      <alignment horizontal="left" vertical="center"/>
      <protection locked="0"/>
    </xf>
    <xf numFmtId="0" fontId="9" fillId="2" borderId="11" xfId="0" applyFont="1" applyFill="1" applyBorder="1" applyAlignment="1">
      <alignment horizontal="center" vertical="center" wrapText="1"/>
    </xf>
    <xf numFmtId="169" fontId="9" fillId="5" borderId="14" xfId="1" applyNumberFormat="1" applyFont="1" applyFill="1" applyBorder="1" applyAlignment="1" applyProtection="1">
      <alignment vertical="center"/>
      <protection locked="0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vertical="center"/>
    </xf>
    <xf numFmtId="0" fontId="9" fillId="2" borderId="17" xfId="0" applyFont="1" applyFill="1" applyBorder="1" applyAlignment="1">
      <alignment horizontal="center" vertical="center" wrapText="1"/>
    </xf>
    <xf numFmtId="168" fontId="9" fillId="5" borderId="18" xfId="0" applyNumberFormat="1" applyFont="1" applyFill="1" applyBorder="1" applyAlignment="1">
      <alignment horizontal="left" vertical="center" wrapText="1" indent="1"/>
    </xf>
    <xf numFmtId="168" fontId="4" fillId="4" borderId="1" xfId="0" applyNumberFormat="1" applyFont="1" applyFill="1" applyBorder="1" applyAlignment="1">
      <alignment horizontal="left" vertical="center" wrapText="1" indent="1"/>
    </xf>
    <xf numFmtId="168" fontId="4" fillId="4" borderId="18" xfId="0" applyNumberFormat="1" applyFont="1" applyFill="1" applyBorder="1" applyAlignment="1">
      <alignment horizontal="left" vertical="center" wrapText="1" indent="1"/>
    </xf>
    <xf numFmtId="0" fontId="4" fillId="4" borderId="8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 wrapText="1" indent="1"/>
    </xf>
    <xf numFmtId="0" fontId="8" fillId="16" borderId="1" xfId="0" applyFont="1" applyFill="1" applyBorder="1" applyAlignment="1">
      <alignment horizontal="left" vertical="center" wrapText="1" indent="1" readingOrder="1"/>
    </xf>
    <xf numFmtId="0" fontId="8" fillId="17" borderId="1" xfId="0" applyFont="1" applyFill="1" applyBorder="1" applyAlignment="1">
      <alignment horizontal="left" vertical="center" wrapText="1" indent="1" readingOrder="1"/>
    </xf>
    <xf numFmtId="0" fontId="0" fillId="0" borderId="19" xfId="0" applyBorder="1" applyAlignment="1">
      <alignment vertical="center" wrapText="1"/>
    </xf>
    <xf numFmtId="168" fontId="4" fillId="4" borderId="20" xfId="0" applyNumberFormat="1" applyFont="1" applyFill="1" applyBorder="1" applyAlignment="1">
      <alignment horizontal="left" vertical="center" wrapText="1" indent="1"/>
    </xf>
    <xf numFmtId="168" fontId="9" fillId="5" borderId="2" xfId="0" applyNumberFormat="1" applyFont="1" applyFill="1" applyBorder="1" applyAlignment="1">
      <alignment horizontal="left" vertical="center" wrapText="1" indent="1"/>
    </xf>
    <xf numFmtId="0" fontId="4" fillId="0" borderId="19" xfId="0" applyFont="1" applyBorder="1" applyAlignment="1">
      <alignment horizontal="left" vertical="center" wrapText="1" indent="1"/>
    </xf>
    <xf numFmtId="0" fontId="4" fillId="3" borderId="0" xfId="0" applyFont="1" applyFill="1" applyBorder="1" applyAlignment="1">
      <alignment horizontal="left" vertical="center" wrapText="1" indent="1"/>
    </xf>
    <xf numFmtId="0" fontId="1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170" fontId="0" fillId="0" borderId="19" xfId="0" applyNumberForma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18" fillId="0" borderId="22" xfId="0" applyFont="1" applyBorder="1" applyAlignment="1">
      <alignment vertical="center" wrapText="1"/>
    </xf>
    <xf numFmtId="0" fontId="18" fillId="0" borderId="23" xfId="0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170" fontId="4" fillId="0" borderId="19" xfId="0" applyNumberFormat="1" applyFont="1" applyBorder="1" applyAlignment="1">
      <alignment horizontal="left" vertical="center" wrapText="1" indent="1"/>
    </xf>
    <xf numFmtId="14" fontId="0" fillId="0" borderId="29" xfId="0" applyNumberFormat="1" applyBorder="1" applyAlignment="1">
      <alignment horizontal="center" vertical="center" wrapText="1"/>
    </xf>
    <xf numFmtId="14" fontId="0" fillId="0" borderId="30" xfId="0" applyNumberFormat="1" applyBorder="1" applyAlignment="1">
      <alignment horizontal="center" vertical="center" wrapText="1"/>
    </xf>
    <xf numFmtId="14" fontId="0" fillId="0" borderId="31" xfId="0" applyNumberFormat="1" applyBorder="1" applyAlignment="1">
      <alignment horizontal="center" vertical="center" wrapText="1"/>
    </xf>
    <xf numFmtId="14" fontId="0" fillId="0" borderId="32" xfId="0" applyNumberFormat="1" applyBorder="1" applyAlignment="1">
      <alignment horizontal="center" vertical="center" wrapText="1"/>
    </xf>
    <xf numFmtId="14" fontId="0" fillId="0" borderId="33" xfId="0" applyNumberFormat="1" applyBorder="1" applyAlignment="1">
      <alignment horizontal="center" vertical="center" wrapText="1"/>
    </xf>
    <xf numFmtId="14" fontId="0" fillId="0" borderId="34" xfId="0" applyNumberFormat="1" applyBorder="1" applyAlignment="1">
      <alignment horizontal="center" vertical="center" wrapText="1"/>
    </xf>
    <xf numFmtId="14" fontId="0" fillId="0" borderId="35" xfId="0" applyNumberForma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169" fontId="9" fillId="2" borderId="14" xfId="1" applyNumberFormat="1" applyFont="1" applyFill="1" applyBorder="1" applyAlignment="1" applyProtection="1">
      <alignment vertical="center"/>
      <protection locked="0"/>
    </xf>
    <xf numFmtId="0" fontId="9" fillId="8" borderId="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</cellXfs>
  <cellStyles count="8">
    <cellStyle name="Hipervínculo visitado" xfId="2" builtinId="9" hidden="1"/>
    <cellStyle name="Hipervínculo visitado" xfId="3" builtinId="9" hidden="1"/>
    <cellStyle name="Hipervínculo visitado" xfId="4" builtinId="9" hidden="1"/>
    <cellStyle name="Hipervínculo visitado" xfId="5" builtinId="9" hidden="1"/>
    <cellStyle name="Hipervínculo visitado" xfId="6" builtinId="9" hidden="1"/>
    <cellStyle name="Moneda" xfId="1" builtinId="4"/>
    <cellStyle name="Normal" xfId="0" builtinId="0"/>
    <cellStyle name="Normal 2" xfId="7" xr:uid="{096755C3-0BB5-E94E-8E6C-945830891248}"/>
  </cellStyles>
  <dxfs count="89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9" defaultPivotStyle="PivotStyleMedium4"/>
  <colors>
    <mruColors>
      <color rgb="FFFFF2CC"/>
      <color rgb="FF5EE9E7"/>
      <color rgb="FFABEFEA"/>
      <color rgb="FF600000"/>
      <color rgb="FF880000"/>
      <color rgb="FFFF927C"/>
      <color rgb="FFFF8B78"/>
      <color rgb="FFE7FFCA"/>
      <color rgb="FFE8EFF9"/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A1F2-2597-1742-BA2F-7AF250B49533}">
  <sheetPr>
    <tabColor theme="3" tint="0.59999389629810485"/>
    <pageSetUpPr fitToPage="1"/>
  </sheetPr>
  <dimension ref="A1:AO417"/>
  <sheetViews>
    <sheetView showGridLines="0" tabSelected="1" topLeftCell="A34" zoomScale="85" zoomScaleNormal="85" workbookViewId="0">
      <selection activeCell="D44" sqref="D44"/>
    </sheetView>
  </sheetViews>
  <sheetFormatPr baseColWidth="10" defaultColWidth="11" defaultRowHeight="13.5" x14ac:dyDescent="0.25"/>
  <cols>
    <col min="1" max="1" width="3.125" style="2" customWidth="1"/>
    <col min="2" max="2" width="13.875" style="2" customWidth="1"/>
    <col min="3" max="3" width="20.875" style="2" customWidth="1"/>
    <col min="4" max="4" width="12.875" style="2" customWidth="1"/>
    <col min="5" max="7" width="11.625" style="2" customWidth="1"/>
    <col min="8" max="8" width="8.875" style="2" customWidth="1"/>
    <col min="9" max="9" width="11.5" style="2" bestFit="1" customWidth="1"/>
    <col min="10" max="10" width="11.875" style="2" customWidth="1"/>
    <col min="11" max="11" width="8.875" style="2" customWidth="1"/>
    <col min="12" max="12" width="10" style="2" customWidth="1"/>
    <col min="13" max="14" width="11.875" style="2" customWidth="1"/>
    <col min="15" max="15" width="15.375" style="2" bestFit="1" customWidth="1"/>
    <col min="16" max="16" width="11.875" style="2" customWidth="1"/>
    <col min="17" max="17" width="15.375" style="2" bestFit="1" customWidth="1"/>
    <col min="18" max="18" width="12.875" style="2" customWidth="1"/>
    <col min="19" max="19" width="22.125" style="2" bestFit="1" customWidth="1"/>
    <col min="20" max="20" width="3.125" style="2" customWidth="1"/>
    <col min="21" max="16384" width="11" style="2"/>
  </cols>
  <sheetData>
    <row r="1" spans="1:41" ht="45" customHeight="1" thickBot="1" x14ac:dyDescent="0.3">
      <c r="A1" s="1"/>
      <c r="B1" s="24" t="s">
        <v>2</v>
      </c>
      <c r="C1" s="12"/>
      <c r="D1" s="12"/>
      <c r="E1" s="12"/>
      <c r="F1" s="12" t="s">
        <v>40</v>
      </c>
      <c r="G1" s="12"/>
      <c r="H1" s="12"/>
      <c r="I1" s="12"/>
      <c r="J1" s="12"/>
      <c r="K1" s="12"/>
      <c r="L1" s="12"/>
      <c r="M1" s="12"/>
      <c r="N1" s="12"/>
      <c r="O1" s="3"/>
      <c r="P1" s="3"/>
      <c r="Q1" s="3"/>
      <c r="R1" s="3"/>
      <c r="S1" s="3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s="5" customFormat="1" ht="35.1" customHeight="1" x14ac:dyDescent="0.25">
      <c r="A2" s="4"/>
      <c r="B2" s="29" t="s">
        <v>3</v>
      </c>
      <c r="C2" s="29"/>
      <c r="D2" s="29"/>
      <c r="E2" s="29"/>
      <c r="F2" s="29"/>
      <c r="G2" s="38"/>
      <c r="H2" s="78" t="s">
        <v>4</v>
      </c>
      <c r="I2" s="79"/>
      <c r="J2" s="79"/>
      <c r="K2" s="79" t="s">
        <v>5</v>
      </c>
      <c r="L2" s="79"/>
      <c r="M2" s="79"/>
      <c r="N2" s="80" t="s">
        <v>6</v>
      </c>
      <c r="O2" s="81"/>
      <c r="P2" s="82"/>
      <c r="Q2" s="83" t="s">
        <v>7</v>
      </c>
      <c r="R2" s="81"/>
      <c r="S2" s="8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s="5" customFormat="1" ht="35.1" customHeight="1" x14ac:dyDescent="0.25">
      <c r="A3" s="4"/>
      <c r="B3" s="25" t="s">
        <v>8</v>
      </c>
      <c r="C3" s="25" t="s">
        <v>9</v>
      </c>
      <c r="D3" s="25" t="s">
        <v>10</v>
      </c>
      <c r="E3" s="9" t="s">
        <v>11</v>
      </c>
      <c r="F3" s="9" t="s">
        <v>12</v>
      </c>
      <c r="G3" s="39" t="s">
        <v>13</v>
      </c>
      <c r="H3" s="32" t="s">
        <v>14</v>
      </c>
      <c r="I3" s="10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31" t="s">
        <v>22</v>
      </c>
      <c r="Q3" s="37" t="s">
        <v>23</v>
      </c>
      <c r="R3" s="36" t="s">
        <v>24</v>
      </c>
      <c r="S3" s="34" t="s">
        <v>25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s="5" customFormat="1" ht="30" customHeight="1" x14ac:dyDescent="0.25">
      <c r="A4" s="4"/>
      <c r="B4" s="26" t="s">
        <v>0</v>
      </c>
      <c r="C4" s="26"/>
      <c r="D4" s="26"/>
      <c r="E4" s="41"/>
      <c r="F4" s="52"/>
      <c r="G4" s="42"/>
      <c r="H4" s="43"/>
      <c r="I4" s="44"/>
      <c r="J4" s="44"/>
      <c r="K4" s="44"/>
      <c r="L4" s="44"/>
      <c r="M4" s="44"/>
      <c r="N4" s="44"/>
      <c r="O4" s="44"/>
      <c r="P4" s="45"/>
      <c r="Q4" s="46"/>
      <c r="R4" s="47"/>
      <c r="S4" s="47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s="5" customFormat="1" ht="30" customHeight="1" x14ac:dyDescent="0.25">
      <c r="A5" s="4"/>
      <c r="B5" s="64" t="s">
        <v>89</v>
      </c>
      <c r="C5" s="60" t="s">
        <v>41</v>
      </c>
      <c r="D5" s="50" t="s">
        <v>33</v>
      </c>
      <c r="E5" s="59"/>
      <c r="F5" s="69">
        <v>46086</v>
      </c>
      <c r="G5" s="69">
        <v>46086</v>
      </c>
      <c r="H5" s="76">
        <v>2</v>
      </c>
      <c r="I5" s="59">
        <v>15000</v>
      </c>
      <c r="J5" s="59">
        <f>H5*I5*3</f>
        <v>90000</v>
      </c>
      <c r="K5" s="51">
        <v>0</v>
      </c>
      <c r="L5" s="51">
        <v>0</v>
      </c>
      <c r="M5" s="51">
        <v>0</v>
      </c>
      <c r="N5" s="51">
        <v>0</v>
      </c>
      <c r="O5" s="59">
        <v>3700000</v>
      </c>
      <c r="P5" s="51">
        <v>0</v>
      </c>
      <c r="Q5" s="68">
        <f>J5+M5+P5+O5+N5</f>
        <v>3790000</v>
      </c>
      <c r="R5" s="59"/>
      <c r="S5" s="35">
        <f t="shared" ref="S5:S13" si="0">R5-Q5</f>
        <v>-3790000</v>
      </c>
      <c r="T5" s="4"/>
      <c r="U5" s="4"/>
      <c r="V5" s="55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4"/>
      <c r="AM5" s="4"/>
      <c r="AN5" s="4"/>
      <c r="AO5" s="4"/>
    </row>
    <row r="6" spans="1:41" s="5" customFormat="1" ht="30" customHeight="1" x14ac:dyDescent="0.25">
      <c r="A6" s="4"/>
      <c r="B6" s="65" t="s">
        <v>90</v>
      </c>
      <c r="C6" s="61" t="s">
        <v>42</v>
      </c>
      <c r="D6" s="50" t="s">
        <v>33</v>
      </c>
      <c r="E6" s="59"/>
      <c r="F6" s="70">
        <v>46086</v>
      </c>
      <c r="G6" s="70">
        <v>46086</v>
      </c>
      <c r="H6" s="76">
        <v>2</v>
      </c>
      <c r="I6" s="59">
        <v>15000</v>
      </c>
      <c r="J6" s="59">
        <f t="shared" ref="J6:J52" si="1">H6*I6*3</f>
        <v>90000</v>
      </c>
      <c r="K6" s="51">
        <v>0</v>
      </c>
      <c r="L6" s="51">
        <v>0</v>
      </c>
      <c r="M6" s="51">
        <v>0</v>
      </c>
      <c r="N6" s="51">
        <v>0</v>
      </c>
      <c r="O6" s="59">
        <v>3700000</v>
      </c>
      <c r="P6" s="51">
        <v>0</v>
      </c>
      <c r="Q6" s="68">
        <f t="shared" ref="Q6:Q52" si="2">J6+M6+P6+O6+N6</f>
        <v>3790000</v>
      </c>
      <c r="R6" s="59"/>
      <c r="S6" s="35">
        <f t="shared" si="0"/>
        <v>-3790000</v>
      </c>
      <c r="T6" s="4"/>
      <c r="U6" s="4"/>
      <c r="V6" s="55"/>
      <c r="W6" s="57"/>
      <c r="X6" s="57"/>
      <c r="Y6" s="57"/>
      <c r="Z6" s="58"/>
      <c r="AA6" s="58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4"/>
      <c r="AM6" s="4"/>
      <c r="AN6" s="4"/>
      <c r="AO6" s="4"/>
    </row>
    <row r="7" spans="1:41" s="5" customFormat="1" ht="30" customHeight="1" x14ac:dyDescent="0.25">
      <c r="A7" s="4"/>
      <c r="B7" s="65" t="s">
        <v>91</v>
      </c>
      <c r="C7" s="61" t="s">
        <v>43</v>
      </c>
      <c r="D7" s="50" t="s">
        <v>33</v>
      </c>
      <c r="E7" s="59"/>
      <c r="F7" s="70">
        <v>46087</v>
      </c>
      <c r="G7" s="70">
        <v>46087</v>
      </c>
      <c r="H7" s="76">
        <v>2</v>
      </c>
      <c r="I7" s="59">
        <v>15000</v>
      </c>
      <c r="J7" s="59">
        <f t="shared" si="1"/>
        <v>90000</v>
      </c>
      <c r="K7" s="51">
        <v>0</v>
      </c>
      <c r="L7" s="51">
        <v>0</v>
      </c>
      <c r="M7" s="51">
        <v>0</v>
      </c>
      <c r="N7" s="51">
        <v>0</v>
      </c>
      <c r="O7" s="59">
        <v>3700000</v>
      </c>
      <c r="P7" s="51">
        <v>0</v>
      </c>
      <c r="Q7" s="68">
        <f t="shared" si="2"/>
        <v>3790000</v>
      </c>
      <c r="R7" s="59"/>
      <c r="S7" s="35">
        <f t="shared" si="0"/>
        <v>-3790000</v>
      </c>
      <c r="T7" s="4"/>
      <c r="U7" s="4"/>
      <c r="V7" s="55"/>
      <c r="W7" s="57"/>
      <c r="X7" s="57"/>
      <c r="Y7" s="57"/>
      <c r="Z7" s="58"/>
      <c r="AA7" s="58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4"/>
      <c r="AM7" s="4"/>
      <c r="AN7" s="4"/>
      <c r="AO7" s="4"/>
    </row>
    <row r="8" spans="1:41" s="5" customFormat="1" ht="30" customHeight="1" x14ac:dyDescent="0.25">
      <c r="A8" s="4"/>
      <c r="B8" s="65" t="s">
        <v>92</v>
      </c>
      <c r="C8" s="61" t="s">
        <v>44</v>
      </c>
      <c r="D8" s="50" t="s">
        <v>33</v>
      </c>
      <c r="E8" s="59"/>
      <c r="F8" s="70">
        <v>46087</v>
      </c>
      <c r="G8" s="70">
        <v>46087</v>
      </c>
      <c r="H8" s="76">
        <v>2</v>
      </c>
      <c r="I8" s="59">
        <v>15000</v>
      </c>
      <c r="J8" s="59">
        <f t="shared" si="1"/>
        <v>90000</v>
      </c>
      <c r="K8" s="51">
        <v>0</v>
      </c>
      <c r="L8" s="51">
        <v>0</v>
      </c>
      <c r="M8" s="51">
        <v>0</v>
      </c>
      <c r="N8" s="51">
        <v>0</v>
      </c>
      <c r="O8" s="59">
        <v>3700000</v>
      </c>
      <c r="P8" s="51">
        <v>0</v>
      </c>
      <c r="Q8" s="68">
        <f t="shared" si="2"/>
        <v>3790000</v>
      </c>
      <c r="R8" s="59"/>
      <c r="S8" s="35">
        <f t="shared" si="0"/>
        <v>-3790000</v>
      </c>
      <c r="T8" s="4"/>
      <c r="U8" s="4"/>
      <c r="V8" s="55"/>
      <c r="W8" s="57"/>
      <c r="X8" s="57"/>
      <c r="Y8" s="57"/>
      <c r="Z8" s="58"/>
      <c r="AA8" s="58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4"/>
      <c r="AM8" s="4"/>
      <c r="AN8" s="4"/>
      <c r="AO8" s="4"/>
    </row>
    <row r="9" spans="1:41" s="5" customFormat="1" ht="30" customHeight="1" x14ac:dyDescent="0.25">
      <c r="A9" s="4"/>
      <c r="B9" s="65" t="s">
        <v>93</v>
      </c>
      <c r="C9" s="61" t="s">
        <v>45</v>
      </c>
      <c r="D9" s="50" t="s">
        <v>33</v>
      </c>
      <c r="E9" s="59"/>
      <c r="F9" s="70">
        <v>46088</v>
      </c>
      <c r="G9" s="70">
        <v>46088</v>
      </c>
      <c r="H9" s="76">
        <v>2</v>
      </c>
      <c r="I9" s="59">
        <v>15000</v>
      </c>
      <c r="J9" s="59">
        <f t="shared" si="1"/>
        <v>90000</v>
      </c>
      <c r="K9" s="51">
        <v>0</v>
      </c>
      <c r="L9" s="51">
        <v>0</v>
      </c>
      <c r="M9" s="51">
        <v>0</v>
      </c>
      <c r="N9" s="51">
        <v>0</v>
      </c>
      <c r="O9" s="59">
        <v>3700000</v>
      </c>
      <c r="P9" s="51">
        <v>0</v>
      </c>
      <c r="Q9" s="68">
        <f t="shared" si="2"/>
        <v>3790000</v>
      </c>
      <c r="R9" s="59"/>
      <c r="S9" s="35">
        <f t="shared" si="0"/>
        <v>-3790000</v>
      </c>
      <c r="T9" s="4"/>
      <c r="U9" s="4"/>
      <c r="V9" s="55"/>
      <c r="W9" s="57"/>
      <c r="X9" s="57"/>
      <c r="Y9" s="57"/>
      <c r="Z9" s="58"/>
      <c r="AA9" s="58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4"/>
      <c r="AM9" s="4"/>
      <c r="AN9" s="4"/>
      <c r="AO9" s="4"/>
    </row>
    <row r="10" spans="1:41" s="5" customFormat="1" ht="30" customHeight="1" x14ac:dyDescent="0.25">
      <c r="A10" s="4"/>
      <c r="B10" s="65" t="s">
        <v>94</v>
      </c>
      <c r="C10" s="61" t="s">
        <v>46</v>
      </c>
      <c r="D10" s="50" t="s">
        <v>33</v>
      </c>
      <c r="E10" s="59"/>
      <c r="F10" s="70">
        <v>46088</v>
      </c>
      <c r="G10" s="70">
        <v>46089</v>
      </c>
      <c r="H10" s="76">
        <v>3</v>
      </c>
      <c r="I10" s="59">
        <v>15000</v>
      </c>
      <c r="J10" s="59">
        <f t="shared" si="1"/>
        <v>135000</v>
      </c>
      <c r="K10" s="51">
        <v>0</v>
      </c>
      <c r="L10" s="51">
        <v>0</v>
      </c>
      <c r="M10" s="51">
        <v>0</v>
      </c>
      <c r="N10" s="51">
        <v>0</v>
      </c>
      <c r="O10" s="59">
        <v>3700000</v>
      </c>
      <c r="P10" s="51">
        <v>0</v>
      </c>
      <c r="Q10" s="68">
        <f t="shared" si="2"/>
        <v>3835000</v>
      </c>
      <c r="R10" s="59"/>
      <c r="S10" s="35">
        <f t="shared" si="0"/>
        <v>-3835000</v>
      </c>
      <c r="T10" s="4"/>
      <c r="U10" s="4"/>
      <c r="V10" s="55"/>
      <c r="W10" s="57"/>
      <c r="X10" s="57"/>
      <c r="Y10" s="57"/>
      <c r="Z10" s="58"/>
      <c r="AA10" s="58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4"/>
      <c r="AM10" s="4"/>
      <c r="AN10" s="4"/>
      <c r="AO10" s="4"/>
    </row>
    <row r="11" spans="1:41" s="5" customFormat="1" ht="30" customHeight="1" x14ac:dyDescent="0.25">
      <c r="A11" s="4"/>
      <c r="B11" s="65" t="s">
        <v>95</v>
      </c>
      <c r="C11" s="61" t="s">
        <v>47</v>
      </c>
      <c r="D11" s="50" t="s">
        <v>33</v>
      </c>
      <c r="E11" s="59"/>
      <c r="F11" s="70">
        <v>46089</v>
      </c>
      <c r="G11" s="70">
        <v>46089</v>
      </c>
      <c r="H11" s="76">
        <v>2</v>
      </c>
      <c r="I11" s="59">
        <v>15000</v>
      </c>
      <c r="J11" s="59">
        <f t="shared" si="1"/>
        <v>90000</v>
      </c>
      <c r="K11" s="51">
        <v>0</v>
      </c>
      <c r="L11" s="51">
        <v>0</v>
      </c>
      <c r="M11" s="51">
        <v>0</v>
      </c>
      <c r="N11" s="51">
        <v>0</v>
      </c>
      <c r="O11" s="59">
        <v>3700000</v>
      </c>
      <c r="P11" s="51">
        <v>0</v>
      </c>
      <c r="Q11" s="68">
        <f t="shared" si="2"/>
        <v>3790000</v>
      </c>
      <c r="R11" s="59"/>
      <c r="S11" s="35">
        <f t="shared" si="0"/>
        <v>-3790000</v>
      </c>
      <c r="T11" s="4"/>
      <c r="U11" s="4"/>
      <c r="V11" s="55"/>
      <c r="W11" s="57"/>
      <c r="X11" s="57"/>
      <c r="Y11" s="57"/>
      <c r="Z11" s="58"/>
      <c r="AA11" s="58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4"/>
      <c r="AM11" s="4"/>
      <c r="AN11" s="4"/>
      <c r="AO11" s="4"/>
    </row>
    <row r="12" spans="1:41" s="5" customFormat="1" ht="30" customHeight="1" x14ac:dyDescent="0.25">
      <c r="A12" s="4"/>
      <c r="B12" s="65" t="s">
        <v>96</v>
      </c>
      <c r="C12" s="61" t="s">
        <v>48</v>
      </c>
      <c r="D12" s="50" t="s">
        <v>33</v>
      </c>
      <c r="E12" s="59"/>
      <c r="F12" s="70">
        <v>46090</v>
      </c>
      <c r="G12" s="70">
        <v>46090</v>
      </c>
      <c r="H12" s="76">
        <v>2</v>
      </c>
      <c r="I12" s="59">
        <v>15000</v>
      </c>
      <c r="J12" s="59">
        <f t="shared" si="1"/>
        <v>90000</v>
      </c>
      <c r="K12" s="51">
        <v>0</v>
      </c>
      <c r="L12" s="51">
        <v>0</v>
      </c>
      <c r="M12" s="51">
        <v>0</v>
      </c>
      <c r="N12" s="51">
        <v>0</v>
      </c>
      <c r="O12" s="59">
        <v>3700000</v>
      </c>
      <c r="P12" s="51">
        <v>0</v>
      </c>
      <c r="Q12" s="68">
        <f t="shared" si="2"/>
        <v>3790000</v>
      </c>
      <c r="R12" s="59"/>
      <c r="S12" s="35">
        <f t="shared" si="0"/>
        <v>-3790000</v>
      </c>
      <c r="T12" s="4"/>
      <c r="U12" s="4"/>
      <c r="V12" s="55"/>
      <c r="W12" s="57"/>
      <c r="X12" s="57"/>
      <c r="Y12" s="57"/>
      <c r="Z12" s="58"/>
      <c r="AA12" s="58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4"/>
      <c r="AM12" s="4"/>
      <c r="AN12" s="4"/>
      <c r="AO12" s="4"/>
    </row>
    <row r="13" spans="1:41" s="5" customFormat="1" ht="30" customHeight="1" x14ac:dyDescent="0.25">
      <c r="A13" s="4"/>
      <c r="B13" s="65" t="s">
        <v>97</v>
      </c>
      <c r="C13" s="61" t="s">
        <v>49</v>
      </c>
      <c r="D13" s="50" t="s">
        <v>33</v>
      </c>
      <c r="E13" s="59"/>
      <c r="F13" s="70">
        <v>46090</v>
      </c>
      <c r="G13" s="70">
        <v>46090</v>
      </c>
      <c r="H13" s="76">
        <v>4</v>
      </c>
      <c r="I13" s="59">
        <v>15000</v>
      </c>
      <c r="J13" s="59">
        <f t="shared" si="1"/>
        <v>180000</v>
      </c>
      <c r="K13" s="51">
        <v>0</v>
      </c>
      <c r="L13" s="51">
        <v>0</v>
      </c>
      <c r="M13" s="51">
        <v>0</v>
      </c>
      <c r="N13" s="51">
        <v>0</v>
      </c>
      <c r="O13" s="59">
        <v>3700000</v>
      </c>
      <c r="P13" s="51">
        <v>0</v>
      </c>
      <c r="Q13" s="68">
        <f t="shared" si="2"/>
        <v>3880000</v>
      </c>
      <c r="R13" s="59"/>
      <c r="S13" s="35">
        <f t="shared" si="0"/>
        <v>-3880000</v>
      </c>
      <c r="T13" s="4"/>
      <c r="U13" s="4"/>
      <c r="V13" s="55"/>
      <c r="W13" s="57"/>
      <c r="X13" s="57"/>
      <c r="Y13" s="57"/>
      <c r="Z13" s="58"/>
      <c r="AA13" s="58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4"/>
      <c r="AM13" s="4"/>
      <c r="AN13" s="4"/>
      <c r="AO13" s="4"/>
    </row>
    <row r="14" spans="1:41" s="5" customFormat="1" ht="30" customHeight="1" x14ac:dyDescent="0.25">
      <c r="A14" s="4"/>
      <c r="B14" s="65" t="s">
        <v>98</v>
      </c>
      <c r="C14" s="61" t="s">
        <v>50</v>
      </c>
      <c r="D14" s="50" t="s">
        <v>33</v>
      </c>
      <c r="E14" s="59"/>
      <c r="F14" s="70">
        <v>46090</v>
      </c>
      <c r="G14" s="70">
        <v>46090</v>
      </c>
      <c r="H14" s="76">
        <v>3</v>
      </c>
      <c r="I14" s="59">
        <v>15000</v>
      </c>
      <c r="J14" s="59">
        <f t="shared" si="1"/>
        <v>135000</v>
      </c>
      <c r="K14" s="51">
        <v>0</v>
      </c>
      <c r="L14" s="51">
        <v>0</v>
      </c>
      <c r="M14" s="51">
        <v>0</v>
      </c>
      <c r="N14" s="51">
        <v>0</v>
      </c>
      <c r="O14" s="59">
        <v>3700000</v>
      </c>
      <c r="P14" s="51">
        <v>0</v>
      </c>
      <c r="Q14" s="68">
        <f t="shared" si="2"/>
        <v>3835000</v>
      </c>
      <c r="R14" s="54"/>
      <c r="S14" s="35">
        <f>R14-Q14</f>
        <v>-3835000</v>
      </c>
      <c r="T14" s="4"/>
      <c r="U14" s="4"/>
      <c r="V14" s="55"/>
      <c r="W14" s="57"/>
      <c r="X14" s="57"/>
      <c r="Y14" s="57"/>
      <c r="Z14" s="58"/>
      <c r="AA14" s="58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4"/>
      <c r="AM14" s="4"/>
      <c r="AN14" s="4"/>
      <c r="AO14" s="4"/>
    </row>
    <row r="15" spans="1:41" s="5" customFormat="1" ht="39.75" customHeight="1" x14ac:dyDescent="0.25">
      <c r="A15" s="4"/>
      <c r="B15" s="66" t="s">
        <v>99</v>
      </c>
      <c r="C15" s="62" t="s">
        <v>51</v>
      </c>
      <c r="D15" s="50" t="s">
        <v>33</v>
      </c>
      <c r="E15" s="59"/>
      <c r="F15" s="71">
        <v>46090</v>
      </c>
      <c r="G15" s="71">
        <v>46090</v>
      </c>
      <c r="H15" s="76">
        <v>2</v>
      </c>
      <c r="I15" s="59">
        <v>15000</v>
      </c>
      <c r="J15" s="59">
        <f t="shared" si="1"/>
        <v>90000</v>
      </c>
      <c r="K15" s="51">
        <v>0</v>
      </c>
      <c r="L15" s="51">
        <v>0</v>
      </c>
      <c r="M15" s="51">
        <v>0</v>
      </c>
      <c r="N15" s="51">
        <v>0</v>
      </c>
      <c r="O15" s="59">
        <v>3700000</v>
      </c>
      <c r="P15" s="51">
        <v>0</v>
      </c>
      <c r="Q15" s="68">
        <f t="shared" si="2"/>
        <v>3790000</v>
      </c>
      <c r="R15" s="54"/>
      <c r="S15" s="35">
        <f t="shared" ref="S15:S52" si="3">R15-Q15</f>
        <v>-3790000</v>
      </c>
      <c r="T15" s="4"/>
      <c r="U15" s="4"/>
      <c r="V15" s="55"/>
      <c r="W15" s="57"/>
      <c r="X15" s="57"/>
      <c r="Y15" s="57"/>
      <c r="Z15" s="58"/>
      <c r="AA15" s="58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4"/>
      <c r="AM15" s="4"/>
      <c r="AN15" s="4"/>
      <c r="AO15" s="4"/>
    </row>
    <row r="16" spans="1:41" s="5" customFormat="1" ht="35.1" customHeight="1" x14ac:dyDescent="0.25">
      <c r="A16" s="4"/>
      <c r="B16" s="64" t="s">
        <v>100</v>
      </c>
      <c r="C16" s="60" t="s">
        <v>52</v>
      </c>
      <c r="D16" s="50" t="s">
        <v>33</v>
      </c>
      <c r="E16" s="59"/>
      <c r="F16" s="69">
        <v>46091</v>
      </c>
      <c r="G16" s="69">
        <v>46091</v>
      </c>
      <c r="H16" s="76">
        <v>3</v>
      </c>
      <c r="I16" s="59">
        <v>15000</v>
      </c>
      <c r="J16" s="59">
        <f t="shared" si="1"/>
        <v>135000</v>
      </c>
      <c r="K16" s="51">
        <v>0</v>
      </c>
      <c r="L16" s="51">
        <v>0</v>
      </c>
      <c r="M16" s="51">
        <v>0</v>
      </c>
      <c r="N16" s="51">
        <v>0</v>
      </c>
      <c r="O16" s="59">
        <v>3700000</v>
      </c>
      <c r="P16" s="51">
        <v>0</v>
      </c>
      <c r="Q16" s="68">
        <f t="shared" si="2"/>
        <v>3835000</v>
      </c>
      <c r="R16" s="54"/>
      <c r="S16" s="35">
        <f t="shared" si="3"/>
        <v>-3835000</v>
      </c>
      <c r="T16" s="4"/>
      <c r="U16" s="4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4"/>
      <c r="AM16" s="4"/>
      <c r="AN16" s="4"/>
      <c r="AO16" s="4"/>
    </row>
    <row r="17" spans="1:41" s="5" customFormat="1" ht="35.1" customHeight="1" x14ac:dyDescent="0.25">
      <c r="A17" s="4"/>
      <c r="B17" s="65" t="s">
        <v>101</v>
      </c>
      <c r="C17" s="61" t="s">
        <v>53</v>
      </c>
      <c r="D17" s="50" t="s">
        <v>33</v>
      </c>
      <c r="E17" s="59"/>
      <c r="F17" s="70">
        <v>46091</v>
      </c>
      <c r="G17" s="70">
        <v>46091</v>
      </c>
      <c r="H17" s="76">
        <v>3</v>
      </c>
      <c r="I17" s="59">
        <v>15000</v>
      </c>
      <c r="J17" s="59">
        <f t="shared" si="1"/>
        <v>135000</v>
      </c>
      <c r="K17" s="51">
        <v>0</v>
      </c>
      <c r="L17" s="51">
        <v>0</v>
      </c>
      <c r="M17" s="51">
        <v>0</v>
      </c>
      <c r="N17" s="51">
        <v>0</v>
      </c>
      <c r="O17" s="59">
        <v>3700000</v>
      </c>
      <c r="P17" s="51">
        <v>0</v>
      </c>
      <c r="Q17" s="68">
        <f t="shared" si="2"/>
        <v>3835000</v>
      </c>
      <c r="R17" s="54"/>
      <c r="S17" s="35">
        <f t="shared" si="3"/>
        <v>-3835000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s="5" customFormat="1" ht="30" customHeight="1" x14ac:dyDescent="0.25">
      <c r="A18" s="4"/>
      <c r="B18" s="65" t="s">
        <v>102</v>
      </c>
      <c r="C18" s="61" t="s">
        <v>54</v>
      </c>
      <c r="D18" s="50" t="s">
        <v>33</v>
      </c>
      <c r="E18" s="59"/>
      <c r="F18" s="70">
        <v>46092</v>
      </c>
      <c r="G18" s="70">
        <v>46093</v>
      </c>
      <c r="H18" s="76">
        <v>4</v>
      </c>
      <c r="I18" s="59">
        <v>15000</v>
      </c>
      <c r="J18" s="59">
        <f t="shared" si="1"/>
        <v>180000</v>
      </c>
      <c r="K18" s="51">
        <v>0</v>
      </c>
      <c r="L18" s="51">
        <v>0</v>
      </c>
      <c r="M18" s="51">
        <v>0</v>
      </c>
      <c r="N18" s="51">
        <v>0</v>
      </c>
      <c r="O18" s="59">
        <v>3700000</v>
      </c>
      <c r="P18" s="51">
        <v>0</v>
      </c>
      <c r="Q18" s="68">
        <f t="shared" si="2"/>
        <v>3880000</v>
      </c>
      <c r="R18" s="54"/>
      <c r="S18" s="35">
        <f t="shared" si="3"/>
        <v>-3880000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s="5" customFormat="1" ht="30" customHeight="1" x14ac:dyDescent="0.25">
      <c r="A19" s="4"/>
      <c r="B19" s="65" t="s">
        <v>103</v>
      </c>
      <c r="C19" s="61" t="s">
        <v>55</v>
      </c>
      <c r="D19" s="50" t="s">
        <v>33</v>
      </c>
      <c r="E19" s="59"/>
      <c r="F19" s="70">
        <v>46093</v>
      </c>
      <c r="G19" s="70">
        <v>46093</v>
      </c>
      <c r="H19" s="76">
        <v>2</v>
      </c>
      <c r="I19" s="59">
        <v>15000</v>
      </c>
      <c r="J19" s="59">
        <f t="shared" si="1"/>
        <v>90000</v>
      </c>
      <c r="K19" s="51">
        <v>0</v>
      </c>
      <c r="L19" s="51">
        <v>0</v>
      </c>
      <c r="M19" s="51">
        <v>0</v>
      </c>
      <c r="N19" s="51">
        <v>0</v>
      </c>
      <c r="O19" s="59">
        <v>3700000</v>
      </c>
      <c r="P19" s="51">
        <v>0</v>
      </c>
      <c r="Q19" s="68">
        <f t="shared" si="2"/>
        <v>3790000</v>
      </c>
      <c r="R19" s="54"/>
      <c r="S19" s="35">
        <f t="shared" si="3"/>
        <v>-3790000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s="5" customFormat="1" ht="30" customHeight="1" x14ac:dyDescent="0.25">
      <c r="A20" s="4"/>
      <c r="B20" s="65" t="s">
        <v>104</v>
      </c>
      <c r="C20" s="61" t="s">
        <v>56</v>
      </c>
      <c r="D20" s="50" t="s">
        <v>33</v>
      </c>
      <c r="E20" s="59"/>
      <c r="F20" s="70">
        <v>46093</v>
      </c>
      <c r="G20" s="70">
        <v>46093</v>
      </c>
      <c r="H20" s="76">
        <v>2</v>
      </c>
      <c r="I20" s="59">
        <v>15000</v>
      </c>
      <c r="J20" s="59">
        <f t="shared" si="1"/>
        <v>90000</v>
      </c>
      <c r="K20" s="51">
        <v>0</v>
      </c>
      <c r="L20" s="51">
        <v>0</v>
      </c>
      <c r="M20" s="51">
        <v>0</v>
      </c>
      <c r="N20" s="51">
        <v>0</v>
      </c>
      <c r="O20" s="59">
        <v>3700000</v>
      </c>
      <c r="P20" s="51">
        <v>0</v>
      </c>
      <c r="Q20" s="68">
        <f t="shared" si="2"/>
        <v>3790000</v>
      </c>
      <c r="R20" s="54"/>
      <c r="S20" s="35">
        <f t="shared" si="3"/>
        <v>-3790000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:41" s="5" customFormat="1" ht="30" customHeight="1" x14ac:dyDescent="0.25">
      <c r="A21" s="4"/>
      <c r="B21" s="65" t="s">
        <v>105</v>
      </c>
      <c r="C21" s="61" t="s">
        <v>57</v>
      </c>
      <c r="D21" s="50" t="s">
        <v>33</v>
      </c>
      <c r="E21" s="59"/>
      <c r="F21" s="70">
        <v>46094</v>
      </c>
      <c r="G21" s="70">
        <v>46094</v>
      </c>
      <c r="H21" s="76">
        <v>2</v>
      </c>
      <c r="I21" s="59">
        <v>15000</v>
      </c>
      <c r="J21" s="59">
        <f t="shared" si="1"/>
        <v>90000</v>
      </c>
      <c r="K21" s="51">
        <v>0</v>
      </c>
      <c r="L21" s="51">
        <v>0</v>
      </c>
      <c r="M21" s="51">
        <v>0</v>
      </c>
      <c r="N21" s="51">
        <v>0</v>
      </c>
      <c r="O21" s="59">
        <v>3700000</v>
      </c>
      <c r="P21" s="51">
        <v>0</v>
      </c>
      <c r="Q21" s="68">
        <f t="shared" si="2"/>
        <v>3790000</v>
      </c>
      <c r="R21" s="54"/>
      <c r="S21" s="35">
        <f t="shared" si="3"/>
        <v>-3790000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1:41" s="5" customFormat="1" ht="30" customHeight="1" x14ac:dyDescent="0.25">
      <c r="A22" s="4"/>
      <c r="B22" s="66" t="s">
        <v>106</v>
      </c>
      <c r="C22" s="62" t="s">
        <v>58</v>
      </c>
      <c r="D22" s="50" t="s">
        <v>33</v>
      </c>
      <c r="E22" s="59"/>
      <c r="F22" s="71">
        <v>46094</v>
      </c>
      <c r="G22" s="71">
        <v>46094</v>
      </c>
      <c r="H22" s="76">
        <v>2</v>
      </c>
      <c r="I22" s="59">
        <v>15000</v>
      </c>
      <c r="J22" s="59">
        <f t="shared" si="1"/>
        <v>90000</v>
      </c>
      <c r="K22" s="51">
        <v>0</v>
      </c>
      <c r="L22" s="51">
        <v>0</v>
      </c>
      <c r="M22" s="51">
        <v>0</v>
      </c>
      <c r="N22" s="51">
        <v>0</v>
      </c>
      <c r="O22" s="59">
        <v>3700000</v>
      </c>
      <c r="P22" s="51">
        <v>0</v>
      </c>
      <c r="Q22" s="68">
        <f t="shared" si="2"/>
        <v>3790000</v>
      </c>
      <c r="R22" s="54"/>
      <c r="S22" s="35">
        <f t="shared" si="3"/>
        <v>-3790000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pans="1:41" s="5" customFormat="1" ht="30" customHeight="1" x14ac:dyDescent="0.25">
      <c r="A23" s="4"/>
      <c r="B23" s="64" t="s">
        <v>107</v>
      </c>
      <c r="C23" s="60" t="s">
        <v>59</v>
      </c>
      <c r="D23" s="50" t="s">
        <v>33</v>
      </c>
      <c r="E23" s="59"/>
      <c r="F23" s="72">
        <v>46097</v>
      </c>
      <c r="G23" s="72">
        <v>46097</v>
      </c>
      <c r="H23" s="76">
        <v>3</v>
      </c>
      <c r="I23" s="59">
        <v>15000</v>
      </c>
      <c r="J23" s="59">
        <f t="shared" si="1"/>
        <v>135000</v>
      </c>
      <c r="K23" s="51">
        <v>0</v>
      </c>
      <c r="L23" s="51">
        <v>0</v>
      </c>
      <c r="M23" s="51">
        <v>0</v>
      </c>
      <c r="N23" s="51">
        <v>0</v>
      </c>
      <c r="O23" s="59">
        <v>3700000</v>
      </c>
      <c r="P23" s="51">
        <v>0</v>
      </c>
      <c r="Q23" s="68">
        <f t="shared" si="2"/>
        <v>3835000</v>
      </c>
      <c r="R23" s="54"/>
      <c r="S23" s="35">
        <f t="shared" si="3"/>
        <v>-3835000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pans="1:41" s="5" customFormat="1" ht="30" customHeight="1" x14ac:dyDescent="0.25">
      <c r="A24" s="4"/>
      <c r="B24" s="65" t="s">
        <v>108</v>
      </c>
      <c r="C24" s="61" t="s">
        <v>60</v>
      </c>
      <c r="D24" s="50" t="s">
        <v>33</v>
      </c>
      <c r="E24" s="59"/>
      <c r="F24" s="73">
        <v>46097</v>
      </c>
      <c r="G24" s="73">
        <v>46097</v>
      </c>
      <c r="H24" s="76">
        <v>3</v>
      </c>
      <c r="I24" s="59">
        <v>15000</v>
      </c>
      <c r="J24" s="59">
        <f t="shared" si="1"/>
        <v>135000</v>
      </c>
      <c r="K24" s="51">
        <v>0</v>
      </c>
      <c r="L24" s="51">
        <v>0</v>
      </c>
      <c r="M24" s="51">
        <v>0</v>
      </c>
      <c r="N24" s="51">
        <v>0</v>
      </c>
      <c r="O24" s="59">
        <v>3700000</v>
      </c>
      <c r="P24" s="51">
        <v>0</v>
      </c>
      <c r="Q24" s="68">
        <f t="shared" si="2"/>
        <v>3835000</v>
      </c>
      <c r="R24" s="54"/>
      <c r="S24" s="35">
        <f t="shared" si="3"/>
        <v>-3835000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1:41" s="5" customFormat="1" ht="30" customHeight="1" x14ac:dyDescent="0.25">
      <c r="A25" s="4"/>
      <c r="B25" s="65" t="s">
        <v>109</v>
      </c>
      <c r="C25" s="61" t="s">
        <v>61</v>
      </c>
      <c r="D25" s="50" t="s">
        <v>33</v>
      </c>
      <c r="E25" s="59"/>
      <c r="F25" s="73">
        <v>46098</v>
      </c>
      <c r="G25" s="73">
        <v>46098</v>
      </c>
      <c r="H25" s="76">
        <v>4</v>
      </c>
      <c r="I25" s="59">
        <v>15000</v>
      </c>
      <c r="J25" s="59">
        <f t="shared" si="1"/>
        <v>180000</v>
      </c>
      <c r="K25" s="51">
        <v>0</v>
      </c>
      <c r="L25" s="51">
        <v>0</v>
      </c>
      <c r="M25" s="51">
        <v>0</v>
      </c>
      <c r="N25" s="51">
        <v>0</v>
      </c>
      <c r="O25" s="59">
        <v>3700000</v>
      </c>
      <c r="P25" s="51">
        <v>0</v>
      </c>
      <c r="Q25" s="68">
        <f t="shared" si="2"/>
        <v>3880000</v>
      </c>
      <c r="R25" s="54"/>
      <c r="S25" s="35">
        <f t="shared" si="3"/>
        <v>-3880000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:41" s="5" customFormat="1" ht="30" customHeight="1" x14ac:dyDescent="0.25">
      <c r="A26" s="4"/>
      <c r="B26" s="65" t="s">
        <v>110</v>
      </c>
      <c r="C26" s="61" t="s">
        <v>62</v>
      </c>
      <c r="D26" s="50" t="s">
        <v>33</v>
      </c>
      <c r="E26" s="59"/>
      <c r="F26" s="73">
        <v>46099</v>
      </c>
      <c r="G26" s="73">
        <v>46099</v>
      </c>
      <c r="H26" s="76">
        <v>3</v>
      </c>
      <c r="I26" s="59">
        <v>15000</v>
      </c>
      <c r="J26" s="59">
        <f t="shared" si="1"/>
        <v>135000</v>
      </c>
      <c r="K26" s="51">
        <v>0</v>
      </c>
      <c r="L26" s="51">
        <v>0</v>
      </c>
      <c r="M26" s="51">
        <v>0</v>
      </c>
      <c r="N26" s="51">
        <v>0</v>
      </c>
      <c r="O26" s="59">
        <v>3700000</v>
      </c>
      <c r="P26" s="51">
        <v>0</v>
      </c>
      <c r="Q26" s="68">
        <f t="shared" si="2"/>
        <v>3835000</v>
      </c>
      <c r="R26" s="54"/>
      <c r="S26" s="35">
        <f t="shared" si="3"/>
        <v>-3835000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pans="1:41" s="5" customFormat="1" ht="30" customHeight="1" x14ac:dyDescent="0.25">
      <c r="A27" s="4"/>
      <c r="B27" s="65" t="s">
        <v>111</v>
      </c>
      <c r="C27" s="61" t="s">
        <v>63</v>
      </c>
      <c r="D27" s="50" t="s">
        <v>33</v>
      </c>
      <c r="E27" s="59"/>
      <c r="F27" s="73">
        <v>46099</v>
      </c>
      <c r="G27" s="73">
        <v>46099</v>
      </c>
      <c r="H27" s="76">
        <v>3</v>
      </c>
      <c r="I27" s="59">
        <v>15000</v>
      </c>
      <c r="J27" s="59">
        <f t="shared" si="1"/>
        <v>135000</v>
      </c>
      <c r="K27" s="51">
        <v>0</v>
      </c>
      <c r="L27" s="51">
        <v>0</v>
      </c>
      <c r="M27" s="51">
        <v>0</v>
      </c>
      <c r="N27" s="51">
        <v>0</v>
      </c>
      <c r="O27" s="59">
        <v>3700000</v>
      </c>
      <c r="P27" s="51">
        <v>0</v>
      </c>
      <c r="Q27" s="68">
        <f t="shared" si="2"/>
        <v>3835000</v>
      </c>
      <c r="R27" s="54"/>
      <c r="S27" s="35">
        <f t="shared" si="3"/>
        <v>-3835000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1:41" s="5" customFormat="1" ht="30" customHeight="1" x14ac:dyDescent="0.25">
      <c r="A28" s="4"/>
      <c r="B28" s="65" t="s">
        <v>112</v>
      </c>
      <c r="C28" s="61" t="s">
        <v>64</v>
      </c>
      <c r="D28" s="50" t="s">
        <v>33</v>
      </c>
      <c r="E28" s="59"/>
      <c r="F28" s="73">
        <v>46100</v>
      </c>
      <c r="G28" s="73">
        <v>46100</v>
      </c>
      <c r="H28" s="76">
        <v>2</v>
      </c>
      <c r="I28" s="59">
        <v>15000</v>
      </c>
      <c r="J28" s="59">
        <f t="shared" si="1"/>
        <v>90000</v>
      </c>
      <c r="K28" s="51">
        <v>0</v>
      </c>
      <c r="L28" s="51">
        <v>0</v>
      </c>
      <c r="M28" s="51">
        <v>0</v>
      </c>
      <c r="N28" s="51">
        <v>0</v>
      </c>
      <c r="O28" s="59">
        <v>3700000</v>
      </c>
      <c r="P28" s="51">
        <v>0</v>
      </c>
      <c r="Q28" s="68">
        <f t="shared" si="2"/>
        <v>3790000</v>
      </c>
      <c r="R28" s="54"/>
      <c r="S28" s="35">
        <f t="shared" si="3"/>
        <v>-3790000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pans="1:41" s="1" customFormat="1" ht="21" customHeight="1" x14ac:dyDescent="0.25">
      <c r="B29" s="65" t="s">
        <v>113</v>
      </c>
      <c r="C29" s="61" t="s">
        <v>65</v>
      </c>
      <c r="D29" s="50" t="s">
        <v>33</v>
      </c>
      <c r="E29" s="59"/>
      <c r="F29" s="73">
        <v>46100</v>
      </c>
      <c r="G29" s="73">
        <v>46100</v>
      </c>
      <c r="H29" s="76">
        <v>2</v>
      </c>
      <c r="I29" s="59">
        <v>15000</v>
      </c>
      <c r="J29" s="59">
        <f t="shared" si="1"/>
        <v>90000</v>
      </c>
      <c r="K29" s="51">
        <v>0</v>
      </c>
      <c r="L29" s="51">
        <v>0</v>
      </c>
      <c r="M29" s="51">
        <v>0</v>
      </c>
      <c r="N29" s="51">
        <v>0</v>
      </c>
      <c r="O29" s="59">
        <v>3700000</v>
      </c>
      <c r="P29" s="51">
        <v>0</v>
      </c>
      <c r="Q29" s="68">
        <f t="shared" si="2"/>
        <v>3790000</v>
      </c>
      <c r="R29" s="54"/>
      <c r="S29" s="35">
        <f t="shared" si="3"/>
        <v>-3790000</v>
      </c>
    </row>
    <row r="30" spans="1:41" ht="49.5" x14ac:dyDescent="0.25">
      <c r="A30" s="1"/>
      <c r="B30" s="66" t="s">
        <v>114</v>
      </c>
      <c r="C30" s="62" t="s">
        <v>66</v>
      </c>
      <c r="D30" s="50" t="s">
        <v>33</v>
      </c>
      <c r="E30" s="59"/>
      <c r="F30" s="74">
        <v>46101</v>
      </c>
      <c r="G30" s="74">
        <v>46101</v>
      </c>
      <c r="H30" s="76">
        <v>4</v>
      </c>
      <c r="I30" s="59">
        <v>15000</v>
      </c>
      <c r="J30" s="59">
        <f t="shared" si="1"/>
        <v>180000</v>
      </c>
      <c r="K30" s="51">
        <v>0</v>
      </c>
      <c r="L30" s="51">
        <v>0</v>
      </c>
      <c r="M30" s="51">
        <v>0</v>
      </c>
      <c r="N30" s="51">
        <v>0</v>
      </c>
      <c r="O30" s="59">
        <v>3700000</v>
      </c>
      <c r="P30" s="51">
        <v>0</v>
      </c>
      <c r="Q30" s="68">
        <f t="shared" si="2"/>
        <v>3880000</v>
      </c>
      <c r="R30" s="54"/>
      <c r="S30" s="35">
        <f t="shared" si="3"/>
        <v>-3880000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49.5" x14ac:dyDescent="0.25">
      <c r="A31" s="1"/>
      <c r="B31" s="64" t="s">
        <v>115</v>
      </c>
      <c r="C31" s="60" t="s">
        <v>67</v>
      </c>
      <c r="D31" s="50" t="s">
        <v>33</v>
      </c>
      <c r="E31" s="59"/>
      <c r="F31" s="69">
        <v>46104</v>
      </c>
      <c r="G31" s="69">
        <v>46105</v>
      </c>
      <c r="H31" s="76">
        <v>3</v>
      </c>
      <c r="I31" s="59">
        <v>15000</v>
      </c>
      <c r="J31" s="59">
        <f t="shared" si="1"/>
        <v>135000</v>
      </c>
      <c r="K31" s="51">
        <v>0</v>
      </c>
      <c r="L31" s="51">
        <v>0</v>
      </c>
      <c r="M31" s="51">
        <v>0</v>
      </c>
      <c r="N31" s="51">
        <v>0</v>
      </c>
      <c r="O31" s="59">
        <v>3700000</v>
      </c>
      <c r="P31" s="51">
        <v>0</v>
      </c>
      <c r="Q31" s="68">
        <f t="shared" si="2"/>
        <v>3835000</v>
      </c>
      <c r="R31" s="54"/>
      <c r="S31" s="35">
        <f t="shared" si="3"/>
        <v>-3835000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49.5" x14ac:dyDescent="0.25">
      <c r="A32" s="1"/>
      <c r="B32" s="65" t="s">
        <v>116</v>
      </c>
      <c r="C32" s="61" t="s">
        <v>68</v>
      </c>
      <c r="D32" s="50" t="s">
        <v>33</v>
      </c>
      <c r="E32" s="59"/>
      <c r="F32" s="70">
        <v>46106</v>
      </c>
      <c r="G32" s="70">
        <v>46108</v>
      </c>
      <c r="H32" s="76">
        <v>6</v>
      </c>
      <c r="I32" s="59">
        <v>15000</v>
      </c>
      <c r="J32" s="59">
        <f t="shared" si="1"/>
        <v>270000</v>
      </c>
      <c r="K32" s="51">
        <v>0</v>
      </c>
      <c r="L32" s="51">
        <v>0</v>
      </c>
      <c r="M32" s="51">
        <v>0</v>
      </c>
      <c r="N32" s="51">
        <v>0</v>
      </c>
      <c r="O32" s="59">
        <v>3700000</v>
      </c>
      <c r="P32" s="51">
        <v>0</v>
      </c>
      <c r="Q32" s="68">
        <f t="shared" si="2"/>
        <v>3970000</v>
      </c>
      <c r="R32" s="54"/>
      <c r="S32" s="35">
        <f t="shared" si="3"/>
        <v>-3970000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49.5" x14ac:dyDescent="0.25">
      <c r="A33" s="1"/>
      <c r="B33" s="65" t="s">
        <v>117</v>
      </c>
      <c r="C33" s="61" t="s">
        <v>69</v>
      </c>
      <c r="D33" s="50" t="s">
        <v>33</v>
      </c>
      <c r="E33" s="59"/>
      <c r="F33" s="70">
        <v>46109</v>
      </c>
      <c r="G33" s="70">
        <v>46111</v>
      </c>
      <c r="H33" s="76">
        <v>4</v>
      </c>
      <c r="I33" s="59">
        <v>15000</v>
      </c>
      <c r="J33" s="59">
        <f t="shared" si="1"/>
        <v>180000</v>
      </c>
      <c r="K33" s="51">
        <v>0</v>
      </c>
      <c r="L33" s="51">
        <v>0</v>
      </c>
      <c r="M33" s="51">
        <v>0</v>
      </c>
      <c r="N33" s="51">
        <v>0</v>
      </c>
      <c r="O33" s="59">
        <v>3700000</v>
      </c>
      <c r="P33" s="51">
        <v>0</v>
      </c>
      <c r="Q33" s="68">
        <f t="shared" si="2"/>
        <v>3880000</v>
      </c>
      <c r="R33" s="54"/>
      <c r="S33" s="35">
        <f t="shared" si="3"/>
        <v>-3880000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49.5" x14ac:dyDescent="0.25">
      <c r="A34" s="1"/>
      <c r="B34" s="65" t="s">
        <v>118</v>
      </c>
      <c r="C34" s="61" t="s">
        <v>70</v>
      </c>
      <c r="D34" s="50" t="s">
        <v>33</v>
      </c>
      <c r="E34" s="59"/>
      <c r="F34" s="70">
        <v>46112</v>
      </c>
      <c r="G34" s="70">
        <v>46114</v>
      </c>
      <c r="H34" s="76">
        <v>4</v>
      </c>
      <c r="I34" s="59">
        <v>15000</v>
      </c>
      <c r="J34" s="59">
        <f t="shared" si="1"/>
        <v>180000</v>
      </c>
      <c r="K34" s="51">
        <v>0</v>
      </c>
      <c r="L34" s="51">
        <v>0</v>
      </c>
      <c r="M34" s="51">
        <v>0</v>
      </c>
      <c r="N34" s="51">
        <v>0</v>
      </c>
      <c r="O34" s="59">
        <v>3700000</v>
      </c>
      <c r="P34" s="51">
        <v>0</v>
      </c>
      <c r="Q34" s="68">
        <f t="shared" si="2"/>
        <v>3880000</v>
      </c>
      <c r="R34" s="54"/>
      <c r="S34" s="35">
        <f t="shared" si="3"/>
        <v>-3880000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49.5" x14ac:dyDescent="0.25">
      <c r="A35" s="1"/>
      <c r="B35" s="65" t="s">
        <v>119</v>
      </c>
      <c r="C35" s="61" t="s">
        <v>71</v>
      </c>
      <c r="D35" s="50" t="s">
        <v>33</v>
      </c>
      <c r="E35" s="59"/>
      <c r="F35" s="70">
        <v>46115</v>
      </c>
      <c r="G35" s="70">
        <v>46117</v>
      </c>
      <c r="H35" s="76">
        <v>4</v>
      </c>
      <c r="I35" s="59">
        <v>15000</v>
      </c>
      <c r="J35" s="59">
        <f t="shared" si="1"/>
        <v>180000</v>
      </c>
      <c r="K35" s="51">
        <v>0</v>
      </c>
      <c r="L35" s="51">
        <v>0</v>
      </c>
      <c r="M35" s="51">
        <v>0</v>
      </c>
      <c r="N35" s="51">
        <v>0</v>
      </c>
      <c r="O35" s="59">
        <v>3700000</v>
      </c>
      <c r="P35" s="51">
        <v>0</v>
      </c>
      <c r="Q35" s="68">
        <f t="shared" si="2"/>
        <v>3880000</v>
      </c>
      <c r="R35" s="54"/>
      <c r="S35" s="35">
        <f t="shared" si="3"/>
        <v>-3880000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33" x14ac:dyDescent="0.25">
      <c r="A36" s="1"/>
      <c r="B36" s="65" t="s">
        <v>120</v>
      </c>
      <c r="C36" s="61" t="s">
        <v>72</v>
      </c>
      <c r="D36" s="50" t="s">
        <v>33</v>
      </c>
      <c r="E36" s="59"/>
      <c r="F36" s="70">
        <v>46118</v>
      </c>
      <c r="G36" s="70">
        <v>46122</v>
      </c>
      <c r="H36" s="76">
        <v>8</v>
      </c>
      <c r="I36" s="59">
        <v>15000</v>
      </c>
      <c r="J36" s="59">
        <f t="shared" si="1"/>
        <v>360000</v>
      </c>
      <c r="K36" s="51">
        <v>0</v>
      </c>
      <c r="L36" s="51">
        <v>0</v>
      </c>
      <c r="M36" s="51">
        <v>0</v>
      </c>
      <c r="N36" s="51">
        <v>0</v>
      </c>
      <c r="O36" s="59">
        <v>3700000</v>
      </c>
      <c r="P36" s="51">
        <v>0</v>
      </c>
      <c r="Q36" s="68">
        <f t="shared" si="2"/>
        <v>4060000</v>
      </c>
      <c r="R36" s="54"/>
      <c r="S36" s="35">
        <f t="shared" si="3"/>
        <v>-4060000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49.5" x14ac:dyDescent="0.25">
      <c r="A37" s="1"/>
      <c r="B37" s="65" t="s">
        <v>121</v>
      </c>
      <c r="C37" s="61" t="s">
        <v>73</v>
      </c>
      <c r="D37" s="50" t="s">
        <v>33</v>
      </c>
      <c r="E37" s="59"/>
      <c r="F37" s="70">
        <v>46123</v>
      </c>
      <c r="G37" s="70">
        <v>46126</v>
      </c>
      <c r="H37" s="76">
        <v>7</v>
      </c>
      <c r="I37" s="59">
        <v>15000</v>
      </c>
      <c r="J37" s="59">
        <f t="shared" si="1"/>
        <v>315000</v>
      </c>
      <c r="K37" s="51">
        <v>0</v>
      </c>
      <c r="L37" s="51">
        <v>0</v>
      </c>
      <c r="M37" s="51">
        <v>0</v>
      </c>
      <c r="N37" s="51">
        <v>0</v>
      </c>
      <c r="O37" s="59">
        <v>3700000</v>
      </c>
      <c r="P37" s="51">
        <v>0</v>
      </c>
      <c r="Q37" s="68">
        <f t="shared" si="2"/>
        <v>4015000</v>
      </c>
      <c r="R37" s="54"/>
      <c r="S37" s="35">
        <f t="shared" si="3"/>
        <v>-4015000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49.5" x14ac:dyDescent="0.25">
      <c r="A38" s="1"/>
      <c r="B38" s="65" t="s">
        <v>122</v>
      </c>
      <c r="C38" s="61" t="s">
        <v>74</v>
      </c>
      <c r="D38" s="50" t="s">
        <v>33</v>
      </c>
      <c r="E38" s="59"/>
      <c r="F38" s="70">
        <v>46127</v>
      </c>
      <c r="G38" s="70">
        <v>46130</v>
      </c>
      <c r="H38" s="76">
        <v>7</v>
      </c>
      <c r="I38" s="59">
        <v>15000</v>
      </c>
      <c r="J38" s="59">
        <f t="shared" si="1"/>
        <v>315000</v>
      </c>
      <c r="K38" s="51">
        <v>0</v>
      </c>
      <c r="L38" s="51">
        <v>0</v>
      </c>
      <c r="M38" s="51">
        <v>0</v>
      </c>
      <c r="N38" s="51">
        <v>0</v>
      </c>
      <c r="O38" s="59">
        <v>3700000</v>
      </c>
      <c r="P38" s="51">
        <v>0</v>
      </c>
      <c r="Q38" s="68">
        <f t="shared" si="2"/>
        <v>4015000</v>
      </c>
      <c r="R38" s="54"/>
      <c r="S38" s="35">
        <f t="shared" si="3"/>
        <v>-4015000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49.5" x14ac:dyDescent="0.25">
      <c r="A39" s="1"/>
      <c r="B39" s="65" t="s">
        <v>123</v>
      </c>
      <c r="C39" s="61" t="s">
        <v>75</v>
      </c>
      <c r="D39" s="50" t="s">
        <v>33</v>
      </c>
      <c r="E39" s="59"/>
      <c r="F39" s="70">
        <v>46131</v>
      </c>
      <c r="G39" s="70">
        <v>46133</v>
      </c>
      <c r="H39" s="76">
        <v>6</v>
      </c>
      <c r="I39" s="59">
        <v>15000</v>
      </c>
      <c r="J39" s="59">
        <f t="shared" si="1"/>
        <v>270000</v>
      </c>
      <c r="K39" s="51">
        <v>0</v>
      </c>
      <c r="L39" s="51">
        <v>0</v>
      </c>
      <c r="M39" s="51">
        <v>0</v>
      </c>
      <c r="N39" s="51">
        <v>0</v>
      </c>
      <c r="O39" s="59">
        <v>3700000</v>
      </c>
      <c r="P39" s="51">
        <v>0</v>
      </c>
      <c r="Q39" s="68">
        <f t="shared" si="2"/>
        <v>3970000</v>
      </c>
      <c r="R39" s="54"/>
      <c r="S39" s="35">
        <f t="shared" si="3"/>
        <v>-3970000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49.5" x14ac:dyDescent="0.25">
      <c r="A40" s="1"/>
      <c r="B40" s="65" t="s">
        <v>124</v>
      </c>
      <c r="C40" s="61" t="s">
        <v>76</v>
      </c>
      <c r="D40" s="50" t="s">
        <v>33</v>
      </c>
      <c r="E40" s="59"/>
      <c r="F40" s="70">
        <v>46134</v>
      </c>
      <c r="G40" s="70">
        <v>46135</v>
      </c>
      <c r="H40" s="76">
        <v>4</v>
      </c>
      <c r="I40" s="59">
        <v>15000</v>
      </c>
      <c r="J40" s="59">
        <f t="shared" si="1"/>
        <v>180000</v>
      </c>
      <c r="K40" s="51">
        <v>0</v>
      </c>
      <c r="L40" s="51">
        <v>0</v>
      </c>
      <c r="M40" s="51">
        <v>0</v>
      </c>
      <c r="N40" s="51">
        <v>0</v>
      </c>
      <c r="O40" s="59">
        <v>3700000</v>
      </c>
      <c r="P40" s="51">
        <v>0</v>
      </c>
      <c r="Q40" s="68">
        <f t="shared" si="2"/>
        <v>3880000</v>
      </c>
      <c r="R40" s="54"/>
      <c r="S40" s="35">
        <f t="shared" si="3"/>
        <v>-3880000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49.5" x14ac:dyDescent="0.25">
      <c r="A41" s="1"/>
      <c r="B41" s="66" t="s">
        <v>125</v>
      </c>
      <c r="C41" s="62" t="s">
        <v>77</v>
      </c>
      <c r="D41" s="50" t="s">
        <v>33</v>
      </c>
      <c r="E41" s="59"/>
      <c r="F41" s="71">
        <v>46104</v>
      </c>
      <c r="G41" s="71">
        <v>46136</v>
      </c>
      <c r="H41" s="76">
        <v>3</v>
      </c>
      <c r="I41" s="59">
        <v>15000</v>
      </c>
      <c r="J41" s="59">
        <f t="shared" si="1"/>
        <v>135000</v>
      </c>
      <c r="K41" s="51">
        <v>0</v>
      </c>
      <c r="L41" s="51">
        <v>0</v>
      </c>
      <c r="M41" s="51">
        <v>0</v>
      </c>
      <c r="N41" s="51">
        <v>0</v>
      </c>
      <c r="O41" s="59">
        <v>3700000</v>
      </c>
      <c r="P41" s="51">
        <v>0</v>
      </c>
      <c r="Q41" s="68">
        <f t="shared" si="2"/>
        <v>3835000</v>
      </c>
      <c r="R41" s="54"/>
      <c r="S41" s="35">
        <f t="shared" si="3"/>
        <v>-3835000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49.5" x14ac:dyDescent="0.25">
      <c r="A42" s="1"/>
      <c r="B42" s="64" t="s">
        <v>126</v>
      </c>
      <c r="C42" s="60" t="s">
        <v>78</v>
      </c>
      <c r="D42" s="50" t="s">
        <v>33</v>
      </c>
      <c r="E42" s="59"/>
      <c r="F42" s="69">
        <v>46139</v>
      </c>
      <c r="G42" s="69">
        <v>46140</v>
      </c>
      <c r="H42" s="76">
        <v>3</v>
      </c>
      <c r="I42" s="59">
        <v>15000</v>
      </c>
      <c r="J42" s="59">
        <f t="shared" si="1"/>
        <v>135000</v>
      </c>
      <c r="K42" s="51">
        <v>0</v>
      </c>
      <c r="L42" s="51">
        <v>0</v>
      </c>
      <c r="M42" s="51">
        <v>0</v>
      </c>
      <c r="N42" s="51">
        <v>0</v>
      </c>
      <c r="O42" s="59">
        <v>3700000</v>
      </c>
      <c r="P42" s="51">
        <v>0</v>
      </c>
      <c r="Q42" s="68">
        <f t="shared" si="2"/>
        <v>3835000</v>
      </c>
      <c r="R42" s="54"/>
      <c r="S42" s="35">
        <f t="shared" si="3"/>
        <v>-3835000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33" x14ac:dyDescent="0.25">
      <c r="A43" s="1"/>
      <c r="B43" s="65" t="s">
        <v>127</v>
      </c>
      <c r="C43" s="61" t="s">
        <v>79</v>
      </c>
      <c r="D43" s="50" t="s">
        <v>33</v>
      </c>
      <c r="E43" s="59"/>
      <c r="F43" s="70">
        <v>46141</v>
      </c>
      <c r="G43" s="70">
        <v>46142</v>
      </c>
      <c r="H43" s="76">
        <v>3</v>
      </c>
      <c r="I43" s="59">
        <v>15000</v>
      </c>
      <c r="J43" s="59">
        <f t="shared" si="1"/>
        <v>135000</v>
      </c>
      <c r="K43" s="51">
        <v>0</v>
      </c>
      <c r="L43" s="51">
        <v>0</v>
      </c>
      <c r="M43" s="51">
        <v>0</v>
      </c>
      <c r="N43" s="51">
        <v>0</v>
      </c>
      <c r="O43" s="59">
        <v>3700000</v>
      </c>
      <c r="P43" s="51">
        <v>0</v>
      </c>
      <c r="Q43" s="68">
        <f t="shared" si="2"/>
        <v>3835000</v>
      </c>
      <c r="R43" s="54"/>
      <c r="S43" s="35">
        <f t="shared" si="3"/>
        <v>-3835000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49.5" x14ac:dyDescent="0.25">
      <c r="A44" s="1"/>
      <c r="B44" s="65" t="s">
        <v>128</v>
      </c>
      <c r="C44" s="61" t="s">
        <v>80</v>
      </c>
      <c r="D44" s="6" t="s">
        <v>32</v>
      </c>
      <c r="E44" s="59"/>
      <c r="F44" s="70">
        <v>46143</v>
      </c>
      <c r="G44" s="70">
        <v>46146</v>
      </c>
      <c r="H44" s="76">
        <v>3</v>
      </c>
      <c r="I44" s="59">
        <v>15000</v>
      </c>
      <c r="J44" s="59">
        <f t="shared" si="1"/>
        <v>135000</v>
      </c>
      <c r="K44" s="51">
        <v>0</v>
      </c>
      <c r="L44" s="51">
        <v>0</v>
      </c>
      <c r="M44" s="51">
        <v>0</v>
      </c>
      <c r="N44" s="51">
        <v>0</v>
      </c>
      <c r="O44" s="59">
        <v>3700000</v>
      </c>
      <c r="P44" s="51">
        <v>0</v>
      </c>
      <c r="Q44" s="68">
        <f t="shared" si="2"/>
        <v>3835000</v>
      </c>
      <c r="R44" s="54"/>
      <c r="S44" s="35">
        <f t="shared" si="3"/>
        <v>-3835000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49.5" x14ac:dyDescent="0.25">
      <c r="A45" s="1"/>
      <c r="B45" s="65" t="s">
        <v>129</v>
      </c>
      <c r="C45" s="61" t="s">
        <v>81</v>
      </c>
      <c r="D45" s="6" t="s">
        <v>31</v>
      </c>
      <c r="E45" s="59"/>
      <c r="F45" s="70">
        <v>46147</v>
      </c>
      <c r="G45" s="70">
        <v>46148</v>
      </c>
      <c r="H45" s="76">
        <v>3</v>
      </c>
      <c r="I45" s="59">
        <v>15000</v>
      </c>
      <c r="J45" s="59">
        <f t="shared" si="1"/>
        <v>135000</v>
      </c>
      <c r="K45" s="51">
        <v>0</v>
      </c>
      <c r="L45" s="51">
        <v>0</v>
      </c>
      <c r="M45" s="51">
        <v>0</v>
      </c>
      <c r="N45" s="51">
        <v>0</v>
      </c>
      <c r="O45" s="59">
        <v>3700000</v>
      </c>
      <c r="P45" s="51">
        <v>0</v>
      </c>
      <c r="Q45" s="68">
        <f t="shared" si="2"/>
        <v>3835000</v>
      </c>
      <c r="R45" s="54"/>
      <c r="S45" s="35">
        <f t="shared" si="3"/>
        <v>-3835000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49.5" x14ac:dyDescent="0.25">
      <c r="A46" s="1"/>
      <c r="B46" s="65" t="s">
        <v>130</v>
      </c>
      <c r="C46" s="61" t="s">
        <v>82</v>
      </c>
      <c r="D46" s="6" t="s">
        <v>31</v>
      </c>
      <c r="E46" s="59"/>
      <c r="F46" s="70">
        <v>46149</v>
      </c>
      <c r="G46" s="70">
        <v>46150</v>
      </c>
      <c r="H46" s="76">
        <v>3</v>
      </c>
      <c r="I46" s="59">
        <v>15000</v>
      </c>
      <c r="J46" s="59">
        <f t="shared" si="1"/>
        <v>135000</v>
      </c>
      <c r="K46" s="51">
        <v>0</v>
      </c>
      <c r="L46" s="51">
        <v>0</v>
      </c>
      <c r="M46" s="51">
        <v>0</v>
      </c>
      <c r="N46" s="51">
        <v>0</v>
      </c>
      <c r="O46" s="59">
        <v>3700000</v>
      </c>
      <c r="P46" s="51">
        <v>0</v>
      </c>
      <c r="Q46" s="68">
        <f t="shared" si="2"/>
        <v>3835000</v>
      </c>
      <c r="R46" s="54"/>
      <c r="S46" s="35">
        <f t="shared" si="3"/>
        <v>-3835000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49.5" x14ac:dyDescent="0.25">
      <c r="A47" s="1"/>
      <c r="B47" s="66" t="s">
        <v>131</v>
      </c>
      <c r="C47" s="62" t="s">
        <v>83</v>
      </c>
      <c r="D47" s="6" t="s">
        <v>31</v>
      </c>
      <c r="E47" s="59"/>
      <c r="F47" s="71">
        <v>46153</v>
      </c>
      <c r="G47" s="71">
        <v>46157</v>
      </c>
      <c r="H47" s="76">
        <v>5</v>
      </c>
      <c r="I47" s="59">
        <v>15000</v>
      </c>
      <c r="J47" s="59">
        <f t="shared" si="1"/>
        <v>225000</v>
      </c>
      <c r="K47" s="51">
        <v>0</v>
      </c>
      <c r="L47" s="51">
        <v>0</v>
      </c>
      <c r="M47" s="51">
        <v>0</v>
      </c>
      <c r="N47" s="51">
        <v>0</v>
      </c>
      <c r="O47" s="59">
        <v>3700000</v>
      </c>
      <c r="P47" s="51">
        <v>0</v>
      </c>
      <c r="Q47" s="68">
        <f t="shared" si="2"/>
        <v>3925000</v>
      </c>
      <c r="R47" s="54"/>
      <c r="S47" s="35">
        <f t="shared" si="3"/>
        <v>-3925000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49.5" x14ac:dyDescent="0.25">
      <c r="A48" s="1"/>
      <c r="B48" s="64" t="s">
        <v>132</v>
      </c>
      <c r="C48" s="60" t="s">
        <v>84</v>
      </c>
      <c r="D48" s="6" t="s">
        <v>31</v>
      </c>
      <c r="E48" s="59"/>
      <c r="F48" s="69">
        <v>46160</v>
      </c>
      <c r="G48" s="69">
        <v>46161</v>
      </c>
      <c r="H48" s="76">
        <v>3</v>
      </c>
      <c r="I48" s="59">
        <v>15000</v>
      </c>
      <c r="J48" s="59">
        <f t="shared" si="1"/>
        <v>135000</v>
      </c>
      <c r="K48" s="51">
        <v>0</v>
      </c>
      <c r="L48" s="51">
        <v>0</v>
      </c>
      <c r="M48" s="51">
        <v>0</v>
      </c>
      <c r="N48" s="51">
        <v>0</v>
      </c>
      <c r="O48" s="59">
        <v>3700000</v>
      </c>
      <c r="P48" s="51">
        <v>0</v>
      </c>
      <c r="Q48" s="68">
        <f t="shared" si="2"/>
        <v>3835000</v>
      </c>
      <c r="R48" s="54"/>
      <c r="S48" s="35">
        <f t="shared" si="3"/>
        <v>-3835000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33" x14ac:dyDescent="0.25">
      <c r="A49" s="1"/>
      <c r="B49" s="65" t="s">
        <v>133</v>
      </c>
      <c r="C49" s="61" t="s">
        <v>85</v>
      </c>
      <c r="D49" s="6" t="s">
        <v>31</v>
      </c>
      <c r="E49" s="59"/>
      <c r="F49" s="70">
        <v>46162</v>
      </c>
      <c r="G49" s="70">
        <v>46164</v>
      </c>
      <c r="H49" s="76">
        <v>5</v>
      </c>
      <c r="I49" s="59">
        <v>15000</v>
      </c>
      <c r="J49" s="59">
        <f t="shared" si="1"/>
        <v>225000</v>
      </c>
      <c r="K49" s="51">
        <v>0</v>
      </c>
      <c r="L49" s="51">
        <v>0</v>
      </c>
      <c r="M49" s="51">
        <v>0</v>
      </c>
      <c r="N49" s="51">
        <v>0</v>
      </c>
      <c r="O49" s="59">
        <v>3700000</v>
      </c>
      <c r="P49" s="51">
        <v>0</v>
      </c>
      <c r="Q49" s="68">
        <f t="shared" si="2"/>
        <v>3925000</v>
      </c>
      <c r="R49" s="54"/>
      <c r="S49" s="35">
        <f t="shared" si="3"/>
        <v>-3925000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33" x14ac:dyDescent="0.25">
      <c r="A50" s="1"/>
      <c r="B50" s="65" t="s">
        <v>134</v>
      </c>
      <c r="C50" s="61" t="s">
        <v>86</v>
      </c>
      <c r="D50" s="6" t="s">
        <v>31</v>
      </c>
      <c r="E50" s="59"/>
      <c r="F50" s="70">
        <v>46167</v>
      </c>
      <c r="G50" s="70">
        <v>46169</v>
      </c>
      <c r="H50" s="76">
        <v>4</v>
      </c>
      <c r="I50" s="59">
        <v>15000</v>
      </c>
      <c r="J50" s="59">
        <f t="shared" si="1"/>
        <v>180000</v>
      </c>
      <c r="K50" s="51">
        <v>0</v>
      </c>
      <c r="L50" s="51">
        <v>0</v>
      </c>
      <c r="M50" s="51">
        <v>0</v>
      </c>
      <c r="N50" s="51">
        <v>0</v>
      </c>
      <c r="O50" s="59">
        <v>3700000</v>
      </c>
      <c r="P50" s="51">
        <v>0</v>
      </c>
      <c r="Q50" s="68">
        <f t="shared" si="2"/>
        <v>3880000</v>
      </c>
      <c r="R50" s="54"/>
      <c r="S50" s="35">
        <f t="shared" si="3"/>
        <v>-3880000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33" x14ac:dyDescent="0.25">
      <c r="A51" s="1"/>
      <c r="B51" s="65" t="s">
        <v>135</v>
      </c>
      <c r="C51" s="61" t="s">
        <v>87</v>
      </c>
      <c r="D51" s="6" t="s">
        <v>31</v>
      </c>
      <c r="E51" s="59"/>
      <c r="F51" s="70">
        <v>46170</v>
      </c>
      <c r="G51" s="70">
        <v>46170</v>
      </c>
      <c r="H51" s="76">
        <v>2</v>
      </c>
      <c r="I51" s="59">
        <v>15000</v>
      </c>
      <c r="J51" s="59">
        <f t="shared" si="1"/>
        <v>90000</v>
      </c>
      <c r="K51" s="51">
        <v>0</v>
      </c>
      <c r="L51" s="51">
        <v>0</v>
      </c>
      <c r="M51" s="51">
        <v>0</v>
      </c>
      <c r="N51" s="51">
        <v>0</v>
      </c>
      <c r="O51" s="59">
        <v>3700000</v>
      </c>
      <c r="P51" s="51">
        <v>0</v>
      </c>
      <c r="Q51" s="68">
        <f t="shared" si="2"/>
        <v>3790000</v>
      </c>
      <c r="R51" s="54"/>
      <c r="S51" s="35">
        <f t="shared" si="3"/>
        <v>-3790000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33.75" thickBot="1" x14ac:dyDescent="0.3">
      <c r="A52" s="1"/>
      <c r="B52" s="67" t="s">
        <v>136</v>
      </c>
      <c r="C52" s="63" t="s">
        <v>88</v>
      </c>
      <c r="D52" s="6" t="s">
        <v>31</v>
      </c>
      <c r="E52" s="59"/>
      <c r="F52" s="75">
        <v>46178</v>
      </c>
      <c r="G52" s="75">
        <v>46178</v>
      </c>
      <c r="H52" s="76">
        <v>4</v>
      </c>
      <c r="I52" s="59">
        <v>15000</v>
      </c>
      <c r="J52" s="59">
        <f t="shared" si="1"/>
        <v>180000</v>
      </c>
      <c r="K52" s="51">
        <v>0</v>
      </c>
      <c r="L52" s="51">
        <v>0</v>
      </c>
      <c r="M52" s="51">
        <v>0</v>
      </c>
      <c r="N52" s="51">
        <v>0</v>
      </c>
      <c r="O52" s="59">
        <v>3700000</v>
      </c>
      <c r="P52" s="51">
        <v>0</v>
      </c>
      <c r="Q52" s="68">
        <f t="shared" si="2"/>
        <v>3880000</v>
      </c>
      <c r="R52" s="54"/>
      <c r="S52" s="35">
        <f t="shared" si="3"/>
        <v>-3880000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35.25" customHeight="1" x14ac:dyDescent="0.25">
      <c r="A53" s="1"/>
      <c r="B53" s="27"/>
      <c r="C53" s="27"/>
      <c r="D53" s="11"/>
      <c r="E53" s="53"/>
      <c r="F53" s="40"/>
      <c r="G53" s="33"/>
      <c r="H53" s="28"/>
      <c r="I53" s="30">
        <f>+SUM(I5:I52)</f>
        <v>720000</v>
      </c>
      <c r="J53" s="30">
        <f t="shared" ref="J53:Q53" si="4">+SUM(J5:J52)</f>
        <v>7290000</v>
      </c>
      <c r="K53" s="30">
        <f t="shared" si="4"/>
        <v>0</v>
      </c>
      <c r="L53" s="30">
        <f t="shared" si="4"/>
        <v>0</v>
      </c>
      <c r="M53" s="30">
        <f t="shared" si="4"/>
        <v>0</v>
      </c>
      <c r="N53" s="30">
        <f t="shared" si="4"/>
        <v>0</v>
      </c>
      <c r="O53" s="30">
        <f t="shared" si="4"/>
        <v>177600000</v>
      </c>
      <c r="P53" s="30">
        <f t="shared" si="4"/>
        <v>0</v>
      </c>
      <c r="Q53" s="30">
        <f t="shared" si="4"/>
        <v>184890000</v>
      </c>
      <c r="R53" s="35"/>
      <c r="S53" s="77">
        <f>SUM(S5:S52)</f>
        <v>-184890000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40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4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4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4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4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4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</sheetData>
  <mergeCells count="4">
    <mergeCell ref="H2:J2"/>
    <mergeCell ref="K2:M2"/>
    <mergeCell ref="N2:P2"/>
    <mergeCell ref="Q2:S2"/>
  </mergeCells>
  <conditionalFormatting sqref="D4">
    <cfRule type="containsText" dxfId="88" priority="122" operator="containsText" text="Approved">
      <formula>NOT(ISERROR(SEARCH("Approved",D4)))</formula>
    </cfRule>
    <cfRule type="containsText" dxfId="87" priority="123" operator="containsText" text="Needs Review">
      <formula>NOT(ISERROR(SEARCH("Needs Review",D4)))</formula>
    </cfRule>
    <cfRule type="containsText" dxfId="86" priority="124" operator="containsText" text="Not Started">
      <formula>NOT(ISERROR(SEARCH("Not Started",D4)))</formula>
    </cfRule>
    <cfRule type="containsText" dxfId="85" priority="125" operator="containsText" text="On Hold">
      <formula>NOT(ISERROR(SEARCH("On Hold",D4)))</formula>
    </cfRule>
    <cfRule type="containsText" dxfId="84" priority="126" operator="containsText" text="Overdue">
      <formula>NOT(ISERROR(SEARCH("Overdue",D4)))</formula>
    </cfRule>
    <cfRule type="containsText" dxfId="83" priority="127" operator="containsText" text="Complete">
      <formula>NOT(ISERROR(SEARCH("Complete",D4)))</formula>
    </cfRule>
    <cfRule type="containsText" dxfId="82" priority="128" operator="containsText" text="In Progress">
      <formula>NOT(ISERROR(SEARCH("In Progress",D4)))</formula>
    </cfRule>
  </conditionalFormatting>
  <conditionalFormatting sqref="S14:S52">
    <cfRule type="cellIs" dxfId="81" priority="142" operator="lessThan">
      <formula>0</formula>
    </cfRule>
    <cfRule type="cellIs" dxfId="80" priority="143" operator="greaterThan">
      <formula>0</formula>
    </cfRule>
  </conditionalFormatting>
  <conditionalFormatting sqref="S5:S13">
    <cfRule type="cellIs" dxfId="79" priority="97" operator="lessThan">
      <formula>0</formula>
    </cfRule>
    <cfRule type="cellIs" dxfId="78" priority="98" operator="greaterThan">
      <formula>0</formula>
    </cfRule>
  </conditionalFormatting>
  <conditionalFormatting sqref="S53">
    <cfRule type="cellIs" dxfId="77" priority="57" operator="lessThan">
      <formula>0</formula>
    </cfRule>
    <cfRule type="cellIs" dxfId="76" priority="58" operator="greaterThan">
      <formula>0</formula>
    </cfRule>
  </conditionalFormatting>
  <conditionalFormatting sqref="D44:D52">
    <cfRule type="containsText" dxfId="75" priority="69" operator="containsText" text="Approved">
      <formula>NOT(ISERROR(SEARCH("Approved",D44)))</formula>
    </cfRule>
    <cfRule type="containsText" dxfId="74" priority="70" operator="containsText" text="Needs Review">
      <formula>NOT(ISERROR(SEARCH("Needs Review",D44)))</formula>
    </cfRule>
    <cfRule type="containsText" dxfId="73" priority="71" operator="containsText" text="Not Started">
      <formula>NOT(ISERROR(SEARCH("Not Started",D44)))</formula>
    </cfRule>
    <cfRule type="containsText" dxfId="72" priority="72" operator="containsText" text="On Hold">
      <formula>NOT(ISERROR(SEARCH("On Hold",D44)))</formula>
    </cfRule>
    <cfRule type="containsText" dxfId="71" priority="73" operator="containsText" text="Overdue">
      <formula>NOT(ISERROR(SEARCH("Overdue",D44)))</formula>
    </cfRule>
    <cfRule type="containsText" dxfId="70" priority="74" operator="containsText" text="Complete">
      <formula>NOT(ISERROR(SEARCH("Complete",D44)))</formula>
    </cfRule>
    <cfRule type="containsText" dxfId="69" priority="75" operator="containsText" text="In Progress">
      <formula>NOT(ISERROR(SEARCH("In Progress",D44)))</formula>
    </cfRule>
  </conditionalFormatting>
  <conditionalFormatting sqref="D44:D52">
    <cfRule type="cellIs" dxfId="68" priority="61" operator="equal">
      <formula>"No Iniciado"</formula>
    </cfRule>
    <cfRule type="cellIs" dxfId="67" priority="62" operator="equal">
      <formula>"Aprobado"</formula>
    </cfRule>
    <cfRule type="cellIs" dxfId="66" priority="63" operator="equal">
      <formula>"En Espera"</formula>
    </cfRule>
    <cfRule type="cellIs" dxfId="65" priority="64" operator="equal">
      <formula>"Atrasado"</formula>
    </cfRule>
    <cfRule type="cellIs" dxfId="64" priority="65" operator="equal">
      <formula>"Aprovado"</formula>
    </cfRule>
    <cfRule type="cellIs" dxfId="63" priority="66" operator="equal">
      <formula>"Requiere Revisión"</formula>
    </cfRule>
    <cfRule type="cellIs" dxfId="62" priority="67" operator="equal">
      <formula>"En Progreso"</formula>
    </cfRule>
    <cfRule type="cellIs" dxfId="61" priority="68" operator="equal">
      <formula>"Completo"</formula>
    </cfRule>
  </conditionalFormatting>
  <conditionalFormatting sqref="R53">
    <cfRule type="cellIs" dxfId="60" priority="59" operator="lessThan">
      <formula>0</formula>
    </cfRule>
    <cfRule type="cellIs" dxfId="59" priority="60" operator="greaterThan">
      <formula>0</formula>
    </cfRule>
  </conditionalFormatting>
  <conditionalFormatting sqref="D22">
    <cfRule type="containsText" dxfId="58" priority="50" operator="containsText" text="Approved">
      <formula>NOT(ISERROR(SEARCH("Approved",D22)))</formula>
    </cfRule>
    <cfRule type="containsText" dxfId="57" priority="51" operator="containsText" text="Needs Review">
      <formula>NOT(ISERROR(SEARCH("Needs Review",D22)))</formula>
    </cfRule>
    <cfRule type="containsText" dxfId="56" priority="52" operator="containsText" text="Not Started">
      <formula>NOT(ISERROR(SEARCH("Not Started",D22)))</formula>
    </cfRule>
    <cfRule type="containsText" dxfId="55" priority="53" operator="containsText" text="On Hold">
      <formula>NOT(ISERROR(SEARCH("On Hold",D22)))</formula>
    </cfRule>
    <cfRule type="containsText" dxfId="54" priority="54" operator="containsText" text="Overdue">
      <formula>NOT(ISERROR(SEARCH("Overdue",D22)))</formula>
    </cfRule>
    <cfRule type="containsText" dxfId="53" priority="55" operator="containsText" text="Complete">
      <formula>NOT(ISERROR(SEARCH("Complete",D22)))</formula>
    </cfRule>
    <cfRule type="containsText" dxfId="52" priority="56" operator="containsText" text="In Progress">
      <formula>NOT(ISERROR(SEARCH("In Progress",D22)))</formula>
    </cfRule>
  </conditionalFormatting>
  <conditionalFormatting sqref="D21">
    <cfRule type="containsText" dxfId="51" priority="43" operator="containsText" text="Approved">
      <formula>NOT(ISERROR(SEARCH("Approved",D21)))</formula>
    </cfRule>
    <cfRule type="containsText" dxfId="50" priority="44" operator="containsText" text="Needs Review">
      <formula>NOT(ISERROR(SEARCH("Needs Review",D21)))</formula>
    </cfRule>
    <cfRule type="containsText" dxfId="49" priority="45" operator="containsText" text="Not Started">
      <formula>NOT(ISERROR(SEARCH("Not Started",D21)))</formula>
    </cfRule>
    <cfRule type="containsText" dxfId="48" priority="46" operator="containsText" text="On Hold">
      <formula>NOT(ISERROR(SEARCH("On Hold",D21)))</formula>
    </cfRule>
    <cfRule type="containsText" dxfId="47" priority="47" operator="containsText" text="Overdue">
      <formula>NOT(ISERROR(SEARCH("Overdue",D21)))</formula>
    </cfRule>
    <cfRule type="containsText" dxfId="46" priority="48" operator="containsText" text="Complete">
      <formula>NOT(ISERROR(SEARCH("Complete",D21)))</formula>
    </cfRule>
    <cfRule type="containsText" dxfId="45" priority="49" operator="containsText" text="In Progress">
      <formula>NOT(ISERROR(SEARCH("In Progress",D21)))</formula>
    </cfRule>
  </conditionalFormatting>
  <conditionalFormatting sqref="D5:D20">
    <cfRule type="containsText" dxfId="44" priority="36" operator="containsText" text="Approved">
      <formula>NOT(ISERROR(SEARCH("Approved",D5)))</formula>
    </cfRule>
    <cfRule type="containsText" dxfId="43" priority="37" operator="containsText" text="Needs Review">
      <formula>NOT(ISERROR(SEARCH("Needs Review",D5)))</formula>
    </cfRule>
    <cfRule type="containsText" dxfId="42" priority="38" operator="containsText" text="Not Started">
      <formula>NOT(ISERROR(SEARCH("Not Started",D5)))</formula>
    </cfRule>
    <cfRule type="containsText" dxfId="41" priority="39" operator="containsText" text="On Hold">
      <formula>NOT(ISERROR(SEARCH("On Hold",D5)))</formula>
    </cfRule>
    <cfRule type="containsText" dxfId="40" priority="40" operator="containsText" text="Overdue">
      <formula>NOT(ISERROR(SEARCH("Overdue",D5)))</formula>
    </cfRule>
    <cfRule type="containsText" dxfId="39" priority="41" operator="containsText" text="Complete">
      <formula>NOT(ISERROR(SEARCH("Complete",D5)))</formula>
    </cfRule>
    <cfRule type="containsText" dxfId="38" priority="42" operator="containsText" text="In Progress">
      <formula>NOT(ISERROR(SEARCH("In Progress",D5)))</formula>
    </cfRule>
  </conditionalFormatting>
  <conditionalFormatting sqref="D23">
    <cfRule type="containsText" dxfId="37" priority="22" operator="containsText" text="Approved">
      <formula>NOT(ISERROR(SEARCH("Approved",D23)))</formula>
    </cfRule>
    <cfRule type="containsText" dxfId="36" priority="23" operator="containsText" text="Needs Review">
      <formula>NOT(ISERROR(SEARCH("Needs Review",D23)))</formula>
    </cfRule>
    <cfRule type="containsText" dxfId="35" priority="24" operator="containsText" text="Not Started">
      <formula>NOT(ISERROR(SEARCH("Not Started",D23)))</formula>
    </cfRule>
    <cfRule type="containsText" dxfId="34" priority="25" operator="containsText" text="On Hold">
      <formula>NOT(ISERROR(SEARCH("On Hold",D23)))</formula>
    </cfRule>
    <cfRule type="containsText" dxfId="33" priority="26" operator="containsText" text="Overdue">
      <formula>NOT(ISERROR(SEARCH("Overdue",D23)))</formula>
    </cfRule>
    <cfRule type="containsText" dxfId="32" priority="27" operator="containsText" text="Complete">
      <formula>NOT(ISERROR(SEARCH("Complete",D23)))</formula>
    </cfRule>
    <cfRule type="containsText" dxfId="31" priority="28" operator="containsText" text="In Progress">
      <formula>NOT(ISERROR(SEARCH("In Progress",D23)))</formula>
    </cfRule>
  </conditionalFormatting>
  <conditionalFormatting sqref="D24:D36">
    <cfRule type="containsText" dxfId="30" priority="15" operator="containsText" text="Approved">
      <formula>NOT(ISERROR(SEARCH("Approved",D24)))</formula>
    </cfRule>
    <cfRule type="containsText" dxfId="29" priority="16" operator="containsText" text="Needs Review">
      <formula>NOT(ISERROR(SEARCH("Needs Review",D24)))</formula>
    </cfRule>
    <cfRule type="containsText" dxfId="28" priority="17" operator="containsText" text="Not Started">
      <formula>NOT(ISERROR(SEARCH("Not Started",D24)))</formula>
    </cfRule>
    <cfRule type="containsText" dxfId="27" priority="18" operator="containsText" text="On Hold">
      <formula>NOT(ISERROR(SEARCH("On Hold",D24)))</formula>
    </cfRule>
    <cfRule type="containsText" dxfId="26" priority="19" operator="containsText" text="Overdue">
      <formula>NOT(ISERROR(SEARCH("Overdue",D24)))</formula>
    </cfRule>
    <cfRule type="containsText" dxfId="25" priority="20" operator="containsText" text="Complete">
      <formula>NOT(ISERROR(SEARCH("Complete",D24)))</formula>
    </cfRule>
    <cfRule type="containsText" dxfId="24" priority="21" operator="containsText" text="In Progress">
      <formula>NOT(ISERROR(SEARCH("In Progress",D24)))</formula>
    </cfRule>
  </conditionalFormatting>
  <conditionalFormatting sqref="D37:D43">
    <cfRule type="containsText" dxfId="6" priority="1" operator="containsText" text="Approved">
      <formula>NOT(ISERROR(SEARCH("Approved",D37)))</formula>
    </cfRule>
    <cfRule type="containsText" dxfId="5" priority="2" operator="containsText" text="Needs Review">
      <formula>NOT(ISERROR(SEARCH("Needs Review",D37)))</formula>
    </cfRule>
    <cfRule type="containsText" dxfId="4" priority="3" operator="containsText" text="Not Started">
      <formula>NOT(ISERROR(SEARCH("Not Started",D37)))</formula>
    </cfRule>
    <cfRule type="containsText" dxfId="3" priority="4" operator="containsText" text="On Hold">
      <formula>NOT(ISERROR(SEARCH("On Hold",D37)))</formula>
    </cfRule>
    <cfRule type="containsText" dxfId="2" priority="5" operator="containsText" text="Overdue">
      <formula>NOT(ISERROR(SEARCH("Overdue",D37)))</formula>
    </cfRule>
    <cfRule type="containsText" dxfId="1" priority="6" operator="containsText" text="Complete">
      <formula>NOT(ISERROR(SEARCH("Complete",D37)))</formula>
    </cfRule>
    <cfRule type="containsText" dxfId="0" priority="7" operator="containsText" text="In Progress">
      <formula>NOT(ISERROR(SEARCH("In Progress",D37)))</formula>
    </cfRule>
  </conditionalFormatting>
  <pageMargins left="0.3" right="0.3" top="0.3" bottom="0.3" header="0" footer="0"/>
  <pageSetup scale="63" fitToHeight="0" orientation="landscape" horizontalDpi="4294967292" verticalDpi="4294967292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314EDA-12D6-2749-B3F6-EF76459AD42E}">
          <x14:formula1>
            <xm:f>'listas desplegables'!$F$3:$F$11</xm:f>
          </x14:formula1>
          <xm:sqref>D4:D52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F1A8-FE55-D44A-A80C-197932E0CA85}">
  <sheetPr>
    <tabColor theme="0" tint="-0.249977111117893"/>
  </sheetPr>
  <dimension ref="A1:AF61"/>
  <sheetViews>
    <sheetView showGridLines="0" workbookViewId="0">
      <selection activeCell="F4" sqref="F4"/>
    </sheetView>
  </sheetViews>
  <sheetFormatPr baseColWidth="10" defaultRowHeight="15.75" x14ac:dyDescent="0.25"/>
  <cols>
    <col min="1" max="1" width="3.375" style="5" customWidth="1"/>
    <col min="2" max="2" width="10.875" style="5"/>
    <col min="3" max="3" width="3.375" style="5" customWidth="1"/>
    <col min="5" max="5" width="3.375" style="5" customWidth="1"/>
    <col min="6" max="6" width="12.875" customWidth="1"/>
    <col min="7" max="7" width="3.375" style="5" customWidth="1"/>
  </cols>
  <sheetData>
    <row r="1" spans="1:32" s="5" customFormat="1" ht="42" customHeight="1" thickBot="1" x14ac:dyDescent="0.3">
      <c r="B1" s="23" t="s">
        <v>38</v>
      </c>
      <c r="C1" s="3"/>
      <c r="D1" s="3"/>
      <c r="E1" s="3"/>
      <c r="F1" s="3"/>
      <c r="G1" s="3"/>
      <c r="H1" s="3"/>
      <c r="I1" s="3"/>
      <c r="J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4.95" customHeight="1" thickTop="1" x14ac:dyDescent="0.25">
      <c r="A2" s="4"/>
      <c r="B2" s="22" t="s">
        <v>26</v>
      </c>
      <c r="C2" s="4"/>
      <c r="D2" s="22" t="s">
        <v>39</v>
      </c>
      <c r="E2" s="4"/>
      <c r="F2" s="22" t="s">
        <v>10</v>
      </c>
      <c r="G2" s="4"/>
    </row>
    <row r="3" spans="1:32" ht="35.1" customHeight="1" x14ac:dyDescent="0.25">
      <c r="A3" s="4"/>
      <c r="B3" s="21" t="s">
        <v>27</v>
      </c>
      <c r="C3" s="4"/>
      <c r="D3" s="20" t="s">
        <v>28</v>
      </c>
      <c r="E3" s="4"/>
      <c r="F3" s="48" t="s">
        <v>31</v>
      </c>
      <c r="G3" s="4"/>
    </row>
    <row r="4" spans="1:32" ht="35.1" customHeight="1" x14ac:dyDescent="0.25">
      <c r="A4" s="4"/>
      <c r="B4" s="19" t="s">
        <v>1</v>
      </c>
      <c r="C4" s="4"/>
      <c r="D4" s="18" t="s">
        <v>29</v>
      </c>
      <c r="E4" s="4"/>
      <c r="F4" s="49" t="s">
        <v>32</v>
      </c>
      <c r="G4" s="4"/>
    </row>
    <row r="5" spans="1:32" ht="35.1" customHeight="1" x14ac:dyDescent="0.25">
      <c r="A5" s="4"/>
      <c r="C5" s="4"/>
      <c r="D5" s="17" t="s">
        <v>30</v>
      </c>
      <c r="E5" s="4"/>
      <c r="F5" s="50" t="s">
        <v>33</v>
      </c>
      <c r="G5" s="4"/>
    </row>
    <row r="6" spans="1:32" ht="35.1" customHeight="1" x14ac:dyDescent="0.3">
      <c r="A6" s="4"/>
      <c r="C6" s="4"/>
      <c r="D6" s="13"/>
      <c r="E6" s="4"/>
      <c r="F6" s="16" t="s">
        <v>36</v>
      </c>
      <c r="G6" s="4"/>
    </row>
    <row r="7" spans="1:32" ht="35.1" customHeight="1" x14ac:dyDescent="0.3">
      <c r="A7" s="4"/>
      <c r="C7" s="4"/>
      <c r="D7" s="13"/>
      <c r="E7" s="4"/>
      <c r="F7" s="15" t="s">
        <v>34</v>
      </c>
      <c r="G7" s="4"/>
    </row>
    <row r="8" spans="1:32" ht="35.1" customHeight="1" x14ac:dyDescent="0.25">
      <c r="A8" s="4"/>
      <c r="C8" s="4"/>
      <c r="E8" s="4"/>
      <c r="F8" s="8" t="s">
        <v>35</v>
      </c>
      <c r="G8" s="4"/>
    </row>
    <row r="9" spans="1:32" ht="35.1" customHeight="1" x14ac:dyDescent="0.25">
      <c r="A9" s="4"/>
      <c r="B9" s="4"/>
      <c r="C9" s="4"/>
      <c r="E9" s="4"/>
      <c r="F9" s="14" t="s">
        <v>37</v>
      </c>
      <c r="G9" s="4"/>
    </row>
    <row r="10" spans="1:32" ht="35.1" customHeight="1" x14ac:dyDescent="0.3">
      <c r="A10" s="4"/>
      <c r="B10" s="4"/>
      <c r="C10" s="4"/>
      <c r="D10" s="13"/>
      <c r="E10" s="4"/>
      <c r="F10" s="7"/>
      <c r="G10" s="4"/>
    </row>
    <row r="11" spans="1:32" ht="35.1" customHeight="1" x14ac:dyDescent="0.3">
      <c r="A11" s="4"/>
      <c r="B11" s="4"/>
      <c r="C11" s="4"/>
      <c r="D11" s="13"/>
      <c r="E11" s="4"/>
      <c r="F11" s="7"/>
      <c r="G11" s="4"/>
    </row>
    <row r="12" spans="1:32" ht="16.5" x14ac:dyDescent="0.3">
      <c r="A12" s="4"/>
      <c r="B12" s="4"/>
      <c r="C12" s="4"/>
      <c r="D12" s="13"/>
      <c r="E12" s="4"/>
      <c r="F12" s="13"/>
      <c r="G12" s="4"/>
    </row>
    <row r="13" spans="1:32" ht="16.5" x14ac:dyDescent="0.3">
      <c r="A13" s="4"/>
      <c r="B13" s="4"/>
      <c r="C13" s="4"/>
      <c r="D13" s="13"/>
      <c r="E13" s="4"/>
      <c r="F13" s="13"/>
      <c r="G13" s="4"/>
    </row>
    <row r="14" spans="1:32" ht="16.5" x14ac:dyDescent="0.3">
      <c r="A14" s="4"/>
      <c r="B14" s="4"/>
      <c r="C14" s="4"/>
      <c r="D14" s="13"/>
      <c r="E14" s="4"/>
      <c r="F14" s="13"/>
      <c r="G14" s="4"/>
    </row>
    <row r="15" spans="1:32" ht="16.5" x14ac:dyDescent="0.3">
      <c r="A15" s="4"/>
      <c r="B15" s="4"/>
      <c r="C15" s="4"/>
      <c r="D15" s="13"/>
      <c r="E15" s="4"/>
      <c r="F15" s="13"/>
      <c r="G15" s="4"/>
    </row>
    <row r="16" spans="1:32" ht="16.5" x14ac:dyDescent="0.3">
      <c r="A16" s="4"/>
      <c r="B16" s="4"/>
      <c r="C16" s="4"/>
      <c r="D16" s="13"/>
      <c r="E16" s="4"/>
      <c r="F16" s="13"/>
      <c r="G16" s="4"/>
    </row>
    <row r="17" spans="1:7" ht="16.5" x14ac:dyDescent="0.3">
      <c r="A17" s="4"/>
      <c r="B17" s="4"/>
      <c r="C17" s="4"/>
      <c r="D17" s="13"/>
      <c r="E17" s="4"/>
      <c r="G17" s="4"/>
    </row>
    <row r="18" spans="1:7" ht="16.5" x14ac:dyDescent="0.3">
      <c r="A18" s="4"/>
      <c r="B18" s="4"/>
      <c r="C18" s="4"/>
      <c r="D18" s="13"/>
      <c r="E18" s="4"/>
      <c r="G18" s="4"/>
    </row>
    <row r="19" spans="1:7" ht="16.5" x14ac:dyDescent="0.3">
      <c r="A19" s="4"/>
      <c r="B19" s="4"/>
      <c r="C19" s="4"/>
      <c r="D19" s="13"/>
      <c r="E19" s="4"/>
      <c r="G19" s="4"/>
    </row>
    <row r="20" spans="1:7" ht="16.5" x14ac:dyDescent="0.3">
      <c r="A20" s="4"/>
      <c r="B20" s="4"/>
      <c r="C20" s="4"/>
      <c r="D20" s="13"/>
      <c r="E20" s="4"/>
      <c r="G20" s="4"/>
    </row>
    <row r="21" spans="1:7" ht="16.5" x14ac:dyDescent="0.3">
      <c r="A21" s="4"/>
      <c r="B21" s="4"/>
      <c r="C21" s="4"/>
      <c r="D21" s="13"/>
      <c r="E21" s="4"/>
      <c r="G21" s="4"/>
    </row>
    <row r="22" spans="1:7" ht="16.5" x14ac:dyDescent="0.3">
      <c r="A22" s="4"/>
      <c r="B22" s="4"/>
      <c r="C22" s="4"/>
      <c r="D22" s="13"/>
      <c r="E22" s="4"/>
      <c r="G22" s="4"/>
    </row>
    <row r="23" spans="1:7" ht="16.5" x14ac:dyDescent="0.3">
      <c r="A23" s="4"/>
      <c r="B23" s="4"/>
      <c r="C23" s="4"/>
      <c r="D23" s="13"/>
      <c r="E23" s="4"/>
      <c r="G23" s="4"/>
    </row>
    <row r="24" spans="1:7" ht="16.5" x14ac:dyDescent="0.3">
      <c r="A24" s="4"/>
      <c r="B24" s="4"/>
      <c r="C24" s="4"/>
      <c r="D24" s="13"/>
      <c r="E24" s="4"/>
      <c r="G24" s="4"/>
    </row>
    <row r="25" spans="1:7" ht="16.5" x14ac:dyDescent="0.3">
      <c r="A25" s="4"/>
      <c r="B25" s="4"/>
      <c r="C25" s="4"/>
      <c r="D25" s="13"/>
      <c r="E25" s="4"/>
      <c r="G25" s="4"/>
    </row>
    <row r="26" spans="1:7" ht="16.5" x14ac:dyDescent="0.3">
      <c r="A26" s="4"/>
      <c r="B26" s="4"/>
      <c r="C26" s="4"/>
      <c r="D26" s="13"/>
      <c r="E26" s="4"/>
      <c r="G26" s="4"/>
    </row>
    <row r="27" spans="1:7" ht="16.5" x14ac:dyDescent="0.3">
      <c r="A27" s="4"/>
      <c r="B27" s="4"/>
      <c r="C27" s="4"/>
      <c r="D27" s="13"/>
      <c r="E27" s="4"/>
      <c r="G27" s="4"/>
    </row>
    <row r="28" spans="1:7" ht="16.5" x14ac:dyDescent="0.3">
      <c r="A28" s="4"/>
      <c r="B28" s="4"/>
      <c r="C28" s="4"/>
      <c r="D28" s="13"/>
      <c r="E28" s="4"/>
      <c r="G28" s="4"/>
    </row>
    <row r="29" spans="1:7" ht="16.5" x14ac:dyDescent="0.3">
      <c r="A29" s="4"/>
      <c r="B29" s="4"/>
      <c r="C29" s="4"/>
      <c r="D29" s="13"/>
      <c r="E29" s="4"/>
      <c r="G29" s="4"/>
    </row>
    <row r="30" spans="1:7" ht="16.5" x14ac:dyDescent="0.3">
      <c r="A30" s="4"/>
      <c r="B30" s="4"/>
      <c r="C30" s="4"/>
      <c r="D30" s="13"/>
      <c r="E30" s="4"/>
      <c r="G30" s="4"/>
    </row>
    <row r="31" spans="1:7" ht="16.5" x14ac:dyDescent="0.3">
      <c r="A31" s="4"/>
      <c r="B31" s="4"/>
      <c r="C31" s="4"/>
      <c r="D31" s="13"/>
      <c r="E31" s="4"/>
      <c r="G31" s="4"/>
    </row>
    <row r="32" spans="1:7" ht="16.5" x14ac:dyDescent="0.3">
      <c r="A32"/>
      <c r="B32"/>
      <c r="C32"/>
      <c r="D32" s="13"/>
      <c r="E32"/>
      <c r="G32"/>
    </row>
    <row r="33" spans="1:7" x14ac:dyDescent="0.25">
      <c r="A33" s="4"/>
      <c r="B33" s="4"/>
      <c r="C33" s="4"/>
      <c r="E33" s="4"/>
      <c r="G33" s="4"/>
    </row>
    <row r="34" spans="1:7" x14ac:dyDescent="0.25">
      <c r="A34" s="4"/>
      <c r="B34" s="4"/>
      <c r="C34" s="4"/>
      <c r="E34" s="4"/>
      <c r="G34" s="4"/>
    </row>
    <row r="35" spans="1:7" x14ac:dyDescent="0.25">
      <c r="A35" s="4"/>
      <c r="B35" s="4"/>
      <c r="C35" s="4"/>
      <c r="E35" s="4"/>
      <c r="G35" s="4"/>
    </row>
    <row r="36" spans="1:7" x14ac:dyDescent="0.25">
      <c r="A36" s="4"/>
      <c r="B36" s="4"/>
      <c r="C36" s="4"/>
      <c r="E36" s="4"/>
      <c r="G36" s="4"/>
    </row>
    <row r="37" spans="1:7" x14ac:dyDescent="0.25">
      <c r="A37" s="4"/>
      <c r="B37" s="4"/>
      <c r="C37" s="4"/>
      <c r="E37" s="4"/>
      <c r="G37" s="4"/>
    </row>
    <row r="38" spans="1:7" x14ac:dyDescent="0.25">
      <c r="A38" s="4"/>
      <c r="B38" s="4"/>
      <c r="C38" s="4"/>
      <c r="E38" s="4"/>
      <c r="G38" s="4"/>
    </row>
    <row r="39" spans="1:7" x14ac:dyDescent="0.25">
      <c r="A39" s="4"/>
      <c r="B39" s="4"/>
      <c r="C39" s="4"/>
      <c r="E39" s="4"/>
      <c r="G39" s="4"/>
    </row>
    <row r="40" spans="1:7" x14ac:dyDescent="0.25">
      <c r="A40" s="4"/>
      <c r="B40" s="4"/>
      <c r="C40" s="4"/>
      <c r="E40" s="4"/>
      <c r="G40" s="4"/>
    </row>
    <row r="41" spans="1:7" x14ac:dyDescent="0.25">
      <c r="A41" s="4"/>
      <c r="B41" s="4"/>
      <c r="C41" s="4"/>
      <c r="E41" s="4"/>
      <c r="G41" s="4"/>
    </row>
    <row r="42" spans="1:7" x14ac:dyDescent="0.25">
      <c r="A42" s="4"/>
      <c r="B42" s="4"/>
      <c r="C42" s="4"/>
      <c r="E42" s="4"/>
      <c r="G42" s="4"/>
    </row>
    <row r="43" spans="1:7" x14ac:dyDescent="0.25">
      <c r="A43" s="4"/>
      <c r="B43" s="4"/>
      <c r="C43" s="4"/>
      <c r="E43" s="4"/>
      <c r="G43" s="4"/>
    </row>
    <row r="44" spans="1:7" x14ac:dyDescent="0.25">
      <c r="A44" s="4"/>
      <c r="B44" s="4"/>
      <c r="C44" s="4"/>
      <c r="E44" s="4"/>
      <c r="G44" s="4"/>
    </row>
    <row r="45" spans="1:7" x14ac:dyDescent="0.25">
      <c r="A45" s="4"/>
      <c r="B45" s="4"/>
      <c r="C45" s="4"/>
      <c r="E45" s="4"/>
      <c r="G45" s="4"/>
    </row>
    <row r="46" spans="1:7" x14ac:dyDescent="0.25">
      <c r="A46" s="4"/>
      <c r="B46" s="4"/>
      <c r="C46" s="4"/>
      <c r="E46" s="4"/>
      <c r="G46" s="4"/>
    </row>
    <row r="47" spans="1:7" x14ac:dyDescent="0.25">
      <c r="A47" s="4"/>
      <c r="B47" s="4"/>
      <c r="C47" s="4"/>
      <c r="E47" s="4"/>
      <c r="G47" s="4"/>
    </row>
    <row r="48" spans="1:7" x14ac:dyDescent="0.25">
      <c r="A48" s="4"/>
      <c r="B48" s="4"/>
      <c r="C48" s="4"/>
      <c r="E48" s="4"/>
      <c r="G48" s="4"/>
    </row>
    <row r="49" spans="1:7" x14ac:dyDescent="0.25">
      <c r="A49" s="4"/>
      <c r="B49" s="4"/>
      <c r="C49" s="4"/>
      <c r="E49" s="4"/>
      <c r="G49" s="4"/>
    </row>
    <row r="50" spans="1:7" x14ac:dyDescent="0.25">
      <c r="A50" s="4"/>
      <c r="B50" s="4"/>
      <c r="C50" s="4"/>
      <c r="E50" s="4"/>
      <c r="G50" s="4"/>
    </row>
    <row r="51" spans="1:7" x14ac:dyDescent="0.25">
      <c r="A51" s="4"/>
      <c r="B51" s="4"/>
      <c r="C51" s="4"/>
      <c r="E51" s="4"/>
      <c r="G51" s="4"/>
    </row>
    <row r="52" spans="1:7" x14ac:dyDescent="0.25">
      <c r="A52" s="4"/>
      <c r="B52" s="4"/>
      <c r="C52" s="4"/>
      <c r="E52" s="4"/>
      <c r="G52" s="4"/>
    </row>
    <row r="53" spans="1:7" x14ac:dyDescent="0.25">
      <c r="A53" s="4"/>
      <c r="B53" s="4"/>
      <c r="C53" s="4"/>
      <c r="E53" s="4"/>
      <c r="G53" s="4"/>
    </row>
    <row r="54" spans="1:7" x14ac:dyDescent="0.25">
      <c r="A54" s="4"/>
      <c r="B54" s="4"/>
      <c r="C54" s="4"/>
      <c r="E54" s="4"/>
      <c r="G54" s="4"/>
    </row>
    <row r="55" spans="1:7" x14ac:dyDescent="0.25">
      <c r="A55" s="4"/>
      <c r="B55" s="4"/>
      <c r="C55" s="4"/>
      <c r="E55" s="4"/>
      <c r="G55" s="4"/>
    </row>
    <row r="56" spans="1:7" x14ac:dyDescent="0.25">
      <c r="A56" s="4"/>
      <c r="B56" s="4"/>
      <c r="C56" s="4"/>
      <c r="E56" s="4"/>
      <c r="G56" s="4"/>
    </row>
    <row r="57" spans="1:7" x14ac:dyDescent="0.25">
      <c r="A57" s="4"/>
      <c r="B57" s="4"/>
      <c r="C57" s="4"/>
      <c r="E57" s="4"/>
      <c r="G57" s="4"/>
    </row>
    <row r="58" spans="1:7" x14ac:dyDescent="0.25">
      <c r="A58" s="4"/>
      <c r="B58" s="4"/>
      <c r="C58" s="4"/>
      <c r="E58" s="4"/>
      <c r="G58" s="4"/>
    </row>
    <row r="59" spans="1:7" x14ac:dyDescent="0.25">
      <c r="A59" s="4"/>
      <c r="B59" s="4"/>
      <c r="C59" s="4"/>
      <c r="E59" s="4"/>
      <c r="G59" s="4"/>
    </row>
    <row r="60" spans="1:7" x14ac:dyDescent="0.25">
      <c r="A60" s="4"/>
      <c r="B60" s="4"/>
      <c r="C60" s="4"/>
      <c r="E60" s="4"/>
      <c r="G60" s="4"/>
    </row>
    <row r="61" spans="1:7" x14ac:dyDescent="0.25">
      <c r="A61" s="4"/>
      <c r="B61" s="4"/>
      <c r="C61" s="4"/>
      <c r="E61" s="4"/>
      <c r="G61" s="4"/>
    </row>
  </sheetData>
  <conditionalFormatting sqref="D3:D5">
    <cfRule type="containsText" dxfId="16" priority="9" operator="containsText" text="Low">
      <formula>NOT(ISERROR(SEARCH("Low",D3)))</formula>
    </cfRule>
    <cfRule type="containsText" dxfId="15" priority="10" operator="containsText" text="Medium">
      <formula>NOT(ISERROR(SEARCH("Medium",D3)))</formula>
    </cfRule>
    <cfRule type="containsText" dxfId="14" priority="11" operator="containsText" text="High">
      <formula>NOT(ISERROR(SEARCH("High",D3)))</formula>
    </cfRule>
  </conditionalFormatting>
  <conditionalFormatting sqref="F3:F11">
    <cfRule type="containsText" dxfId="13" priority="8" operator="containsText" text="Approved">
      <formula>NOT(ISERROR(SEARCH("Approved",F3)))</formula>
    </cfRule>
    <cfRule type="containsText" dxfId="12" priority="12" operator="containsText" text="Needs Review">
      <formula>NOT(ISERROR(SEARCH("Needs Review",F3)))</formula>
    </cfRule>
    <cfRule type="containsText" dxfId="11" priority="13" operator="containsText" text="Not Started">
      <formula>NOT(ISERROR(SEARCH("Not Started",F3)))</formula>
    </cfRule>
    <cfRule type="containsText" dxfId="10" priority="14" operator="containsText" text="On Hold">
      <formula>NOT(ISERROR(SEARCH("On Hold",F3)))</formula>
    </cfRule>
    <cfRule type="containsText" dxfId="9" priority="15" operator="containsText" text="Overdue">
      <formula>NOT(ISERROR(SEARCH("Overdue",F3)))</formula>
    </cfRule>
    <cfRule type="containsText" dxfId="8" priority="16" operator="containsText" text="Complete">
      <formula>NOT(ISERROR(SEARCH("Complete",F3)))</formula>
    </cfRule>
    <cfRule type="containsText" dxfId="7" priority="17" operator="containsText" text="In Progress">
      <formula>NOT(ISERROR(SEARCH("In Progress",F3)))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Presupuesto del proyecto</vt:lpstr>
      <vt:lpstr>listas desplegables</vt:lpstr>
      <vt:lpstr>'Presupuesto del proyecto'!Área_de_impresión</vt:lpstr>
      <vt:lpstr>Status</vt:lpstr>
      <vt:lpstr>YesNo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IVAN FELIPE BAQUERO MORALES</cp:lastModifiedBy>
  <cp:lastPrinted>2022-01-31T23:51:04Z</cp:lastPrinted>
  <dcterms:created xsi:type="dcterms:W3CDTF">2015-08-28T20:34:30Z</dcterms:created>
  <dcterms:modified xsi:type="dcterms:W3CDTF">2026-05-01T19:05:30Z</dcterms:modified>
</cp:coreProperties>
</file>