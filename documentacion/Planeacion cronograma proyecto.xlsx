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imja\OneDrive\Documents\2026-1\gestion\"/>
    </mc:Choice>
  </mc:AlternateContent>
  <xr:revisionPtr revIDLastSave="0" documentId="13_ncr:1_{F39A0EC2-C8A1-4DA8-8D7E-BD7A22A33B0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6" i="1" l="1"/>
  <c r="H49" i="1"/>
  <c r="H37" i="1"/>
  <c r="H28" i="1"/>
  <c r="H20" i="1"/>
  <c r="H8" i="1"/>
  <c r="H5" i="1" l="1"/>
</calcChain>
</file>

<file path=xl/sharedStrings.xml><?xml version="1.0" encoding="utf-8"?>
<sst xmlns="http://schemas.openxmlformats.org/spreadsheetml/2006/main" count="275" uniqueCount="173">
  <si>
    <t>WBS No.</t>
  </si>
  <si>
    <t>Nombre de la tarea</t>
  </si>
  <si>
    <t>Estado</t>
  </si>
  <si>
    <t>Asignado a</t>
  </si>
  <si>
    <t>Fecha  inicio</t>
  </si>
  <si>
    <t>Fecha fin</t>
  </si>
  <si>
    <t>Comentarios</t>
  </si>
  <si>
    <t>Título del Proyecto</t>
  </si>
  <si>
    <t>Gerente del Proyecto</t>
  </si>
  <si>
    <t>Fecha inicio</t>
  </si>
  <si>
    <t>Fecha Fin</t>
  </si>
  <si>
    <t>Duracion del proyecto</t>
  </si>
  <si>
    <t>Completo</t>
  </si>
  <si>
    <t>En progreso</t>
  </si>
  <si>
    <t>No Iniciado</t>
  </si>
  <si>
    <t>En Espera</t>
  </si>
  <si>
    <t>Duración (en horas)</t>
  </si>
  <si>
    <t>Planeación y documentación inicial del proyecto</t>
  </si>
  <si>
    <t>Equipo</t>
  </si>
  <si>
    <t>Organización inicial del proyecto</t>
  </si>
  <si>
    <t>1.1</t>
  </si>
  <si>
    <t>Definición de la idea del proyecto</t>
  </si>
  <si>
    <t>Se definió el enfoque del videojuego educativo</t>
  </si>
  <si>
    <t>1.2</t>
  </si>
  <si>
    <t>Redacción del propósito del proyecto</t>
  </si>
  <si>
    <t>Mayra</t>
  </si>
  <si>
    <t>Documento redactado</t>
  </si>
  <si>
    <t>1.3</t>
  </si>
  <si>
    <t>Redacción de la justificación del proyecto</t>
  </si>
  <si>
    <t>1.4</t>
  </si>
  <si>
    <t>Redacción de la descripción del proyecto</t>
  </si>
  <si>
    <t>1.5</t>
  </si>
  <si>
    <t>Definición de entregables del proyecto</t>
  </si>
  <si>
    <t>Entregables académicos definidos</t>
  </si>
  <si>
    <t>1.6</t>
  </si>
  <si>
    <t>Elaboración de requerimientos del producto</t>
  </si>
  <si>
    <t>Iván / Mayra</t>
  </si>
  <si>
    <t>Tabla de requerimientos terminada</t>
  </si>
  <si>
    <t>1.7</t>
  </si>
  <si>
    <t>Elaboración de requerimientos del proyecto</t>
  </si>
  <si>
    <t>Iván</t>
  </si>
  <si>
    <t>1.8</t>
  </si>
  <si>
    <t>Redacción del objetivo general y objetivos específicos</t>
  </si>
  <si>
    <t>Objetivos definidos</t>
  </si>
  <si>
    <t>1.9</t>
  </si>
  <si>
    <t>Elaboración del acta de inicio</t>
  </si>
  <si>
    <t>Ajuste del documento según formato</t>
  </si>
  <si>
    <t>1.10</t>
  </si>
  <si>
    <t>Elaboración de EDT</t>
  </si>
  <si>
    <t>Estructura del trabajo del proyecto</t>
  </si>
  <si>
    <t>1.11</t>
  </si>
  <si>
    <t>Elaboración del cronograma</t>
  </si>
  <si>
    <t>Organización de tiempos</t>
  </si>
  <si>
    <t>Gestión académica del proyecto</t>
  </si>
  <si>
    <t>Documentos de apoyo de la materia</t>
  </si>
  <si>
    <t>2.1</t>
  </si>
  <si>
    <t>Elaboración del presupuesto del proyecto</t>
  </si>
  <si>
    <t>Presupuesto básico del proyecto</t>
  </si>
  <si>
    <t>2.2</t>
  </si>
  <si>
    <t>Elaboración de la matriz RACI</t>
  </si>
  <si>
    <t>Distribución de responsabilidades</t>
  </si>
  <si>
    <t>2.3</t>
  </si>
  <si>
    <t>Elaboración de la matriz de riesgos</t>
  </si>
  <si>
    <t>Nicolás</t>
  </si>
  <si>
    <t>Riesgos académicos y técnicos</t>
  </si>
  <si>
    <t>2.4</t>
  </si>
  <si>
    <t>Creación del repositorio en GitHub</t>
  </si>
  <si>
    <t>Repositorio del proyecto</t>
  </si>
  <si>
    <t>2.5</t>
  </si>
  <si>
    <t>Organización de carpetas y archivos del proyecto</t>
  </si>
  <si>
    <t>Orden del proyecto y respaldo</t>
  </si>
  <si>
    <t>2.6</t>
  </si>
  <si>
    <t>Subida de documentos iniciales al repositorio</t>
  </si>
  <si>
    <t>Evidencia del avance</t>
  </si>
  <si>
    <t>2.7</t>
  </si>
  <si>
    <t>Revisión general de entregables iniciales</t>
  </si>
  <si>
    <t>Validación antes del desarrollo</t>
  </si>
  <si>
    <t>Diseño del videojuego</t>
  </si>
  <si>
    <t>Diseño funcional del juego</t>
  </si>
  <si>
    <t>3.1</t>
  </si>
  <si>
    <t>Definición de la historia del videojuego</t>
  </si>
  <si>
    <t>Contexto general del juego</t>
  </si>
  <si>
    <t>3.2</t>
  </si>
  <si>
    <t>Definición de los minijuegos y su secuencia</t>
  </si>
  <si>
    <t>Orden de aparición y lógica</t>
  </si>
  <si>
    <t>3.3</t>
  </si>
  <si>
    <t>Diseño del mapa principal</t>
  </si>
  <si>
    <t>Distribución del escenario</t>
  </si>
  <si>
    <t>3.4</t>
  </si>
  <si>
    <t>Diseño de personajes y NPC</t>
  </si>
  <si>
    <t>Personaje principal y vecinos</t>
  </si>
  <si>
    <t>3.5</t>
  </si>
  <si>
    <t>Diseño de interfaz y mensajes</t>
  </si>
  <si>
    <t>Pantallas y mensajes pedagógicos</t>
  </si>
  <si>
    <t>3.6</t>
  </si>
  <si>
    <t>Diseño lógico del minijuego de arrays</t>
  </si>
  <si>
    <t>Reglas y funcionamiento</t>
  </si>
  <si>
    <t>3.7</t>
  </si>
  <si>
    <t>Diseño lógico del minijuego de variables</t>
  </si>
  <si>
    <t>3.8</t>
  </si>
  <si>
    <t>Diseño lógico de los minijuegos de código y algoritmos</t>
  </si>
  <si>
    <t>Desarrollo del videojuego</t>
  </si>
  <si>
    <t>Programación e integración</t>
  </si>
  <si>
    <t>4.1</t>
  </si>
  <si>
    <t>Configuración inicial del proyecto en GameMaker</t>
  </si>
  <si>
    <t>Base del videojuego</t>
  </si>
  <si>
    <t>4.2</t>
  </si>
  <si>
    <t>Creación del mapa principal en GameMaker</t>
  </si>
  <si>
    <t>Escenario base</t>
  </si>
  <si>
    <t>4.3</t>
  </si>
  <si>
    <t>Programación del movimiento del personaje</t>
  </si>
  <si>
    <t>Movimiento principal</t>
  </si>
  <si>
    <t>4.4</t>
  </si>
  <si>
    <t>Programación de colisiones e interacción básica</t>
  </si>
  <si>
    <t>Interacción con objetos y NPC</t>
  </si>
  <si>
    <t>4.5</t>
  </si>
  <si>
    <t>Programación de diálogos y explicaciones previas</t>
  </si>
  <si>
    <t>Explicaciones antes de cada minijuego</t>
  </si>
  <si>
    <t>4.6</t>
  </si>
  <si>
    <t>Desarrollo del minijuego de arrays</t>
  </si>
  <si>
    <t>Recolección de elementos correctos</t>
  </si>
  <si>
    <t>4.7</t>
  </si>
  <si>
    <t>Desarrollo del minijuego de variables</t>
  </si>
  <si>
    <t>Selección de tipos de datos</t>
  </si>
  <si>
    <t>4.8</t>
  </si>
  <si>
    <t>Desarrollo del minijuego de completar código</t>
  </si>
  <si>
    <t>Fragmento correcto del código</t>
  </si>
  <si>
    <t>4.9</t>
  </si>
  <si>
    <t>Desarrollo del minijuego de algoritmos</t>
  </si>
  <si>
    <t>Secuencia de movimientos</t>
  </si>
  <si>
    <t>4.10</t>
  </si>
  <si>
    <t>Integración de minijuegos al mapa principal</t>
  </si>
  <si>
    <t>Unión de todo el flujo del juego</t>
  </si>
  <si>
    <t>4.11</t>
  </si>
  <si>
    <t>Actualización del repositorio GitHub con avances</t>
  </si>
  <si>
    <t>Subidas periódicas</t>
  </si>
  <si>
    <t>Pruebas y ajustes del videojuego</t>
  </si>
  <si>
    <t>Revisión del funcionamiento</t>
  </si>
  <si>
    <t>5.1</t>
  </si>
  <si>
    <t>Pruebas del mapa principal y movimiento</t>
  </si>
  <si>
    <t>Validación básica</t>
  </si>
  <si>
    <t>5.2</t>
  </si>
  <si>
    <t>Pruebas del minijuego de arrays</t>
  </si>
  <si>
    <t>Revisión de lógica</t>
  </si>
  <si>
    <t>5.3</t>
  </si>
  <si>
    <t>Pruebas del minijuego de variables</t>
  </si>
  <si>
    <t>5.4</t>
  </si>
  <si>
    <t>Pruebas del minijuego de completar código</t>
  </si>
  <si>
    <t>5.5</t>
  </si>
  <si>
    <t>Pruebas del minijuego de algoritmos</t>
  </si>
  <si>
    <t>5.6</t>
  </si>
  <si>
    <t>Corrección de errores y ajustes finales</t>
  </si>
  <si>
    <t>Ajustes técnicos y visuales</t>
  </si>
  <si>
    <t>Cierre del proyecto y entrega final</t>
  </si>
  <si>
    <t>Entrega académica del proyecto</t>
  </si>
  <si>
    <t>6.1</t>
  </si>
  <si>
    <t>Organización de evidencias del desarrollo</t>
  </si>
  <si>
    <t>Capturas, avances y soporte</t>
  </si>
  <si>
    <t>6.2</t>
  </si>
  <si>
    <t>Ajuste de documentación final</t>
  </si>
  <si>
    <t>Documento final del proyecto</t>
  </si>
  <si>
    <t>6.3</t>
  </si>
  <si>
    <t>Preparación de presentación final</t>
  </si>
  <si>
    <t>Diapositivas y estructura</t>
  </si>
  <si>
    <t>6.4</t>
  </si>
  <si>
    <t>Revisión final del repositorio y archivos</t>
  </si>
  <si>
    <t>Verificación final</t>
  </si>
  <si>
    <t>6.5</t>
  </si>
  <si>
    <t>Entrega final del proyecto</t>
  </si>
  <si>
    <t>Cierre del proyecto</t>
  </si>
  <si>
    <t>en horas</t>
  </si>
  <si>
    <t>Iván Baquero</t>
  </si>
  <si>
    <t>Videojuego educativo para aprender lógica de algoritmos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</si>
</sst>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m/dd"/>
    <numFmt numFmtId="166" formatCode="yyyy\-mm\-dd;@"/>
  </numFmts>
  <fonts count="1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1"/>
      <color theme="1"/>
      <name val="Century Gothic"/>
      <family val="2"/>
    </font>
    <font>
      <b/>
      <sz val="11"/>
      <color rgb="FF001033"/>
      <name val="Century Gothic"/>
      <family val="2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sz val="11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 style="medium">
        <color rgb="FF001033"/>
      </top>
      <bottom/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/>
      <diagonal/>
    </border>
    <border>
      <left style="medium">
        <color theme="6" tint="-0.499984740745262"/>
      </left>
      <right style="medium">
        <color theme="6" tint="-0.499984740745262"/>
      </right>
      <top/>
      <bottom style="medium">
        <color theme="6" tint="-0.499984740745262"/>
      </bottom>
      <diagonal/>
    </border>
    <border>
      <left style="medium">
        <color theme="6" tint="-0.499984740745262"/>
      </left>
      <right/>
      <top/>
      <bottom style="thin">
        <color theme="6"/>
      </bottom>
      <diagonal/>
    </border>
    <border>
      <left style="medium">
        <color theme="6" tint="-0.499984740745262"/>
      </left>
      <right/>
      <top style="thin">
        <color theme="6"/>
      </top>
      <bottom style="thin">
        <color theme="6"/>
      </bottom>
      <diagonal/>
    </border>
    <border>
      <left style="medium">
        <color theme="6" tint="-0.499984740745262"/>
      </left>
      <right/>
      <top style="thin">
        <color theme="6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indexed="64"/>
      </top>
      <bottom/>
      <diagonal/>
    </border>
    <border>
      <left style="medium">
        <color theme="2" tint="-0.749992370372631"/>
      </left>
      <right style="medium">
        <color theme="6" tint="-0.499984740745262"/>
      </right>
      <top/>
      <bottom style="thin">
        <color theme="6"/>
      </bottom>
      <diagonal/>
    </border>
    <border>
      <left/>
      <right style="medium">
        <color theme="2" tint="-0.749992370372631"/>
      </right>
      <top/>
      <bottom style="thin">
        <color theme="6"/>
      </bottom>
      <diagonal/>
    </border>
    <border>
      <left style="medium">
        <color theme="2" tint="-0.749992370372631"/>
      </left>
      <right style="medium">
        <color theme="6" tint="-0.499984740745262"/>
      </right>
      <top style="thin">
        <color theme="6"/>
      </top>
      <bottom style="thin">
        <color theme="6"/>
      </bottom>
      <diagonal/>
    </border>
    <border>
      <left/>
      <right style="medium">
        <color theme="2" tint="-0.749992370372631"/>
      </right>
      <top style="thin">
        <color theme="6"/>
      </top>
      <bottom style="thin">
        <color theme="6"/>
      </bottom>
      <diagonal/>
    </border>
    <border>
      <left style="medium">
        <color theme="2" tint="-0.749992370372631"/>
      </left>
      <right style="medium">
        <color theme="6" tint="-0.499984740745262"/>
      </right>
      <top style="thin">
        <color theme="6"/>
      </top>
      <bottom/>
      <diagonal/>
    </border>
    <border>
      <left/>
      <right style="medium">
        <color theme="2" tint="-0.749992370372631"/>
      </right>
      <top style="thin">
        <color theme="6"/>
      </top>
      <bottom/>
      <diagonal/>
    </border>
    <border>
      <left style="medium">
        <color theme="2" tint="-0.749992370372631"/>
      </left>
      <right style="medium">
        <color theme="6" tint="-0.499984740745262"/>
      </right>
      <top style="thin">
        <color theme="6"/>
      </top>
      <bottom style="medium">
        <color theme="2" tint="-0.749992370372631"/>
      </bottom>
      <diagonal/>
    </border>
    <border>
      <left/>
      <right/>
      <top style="thin">
        <color theme="6"/>
      </top>
      <bottom style="medium">
        <color theme="2" tint="-0.749992370372631"/>
      </bottom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2" tint="-0.749992370372631"/>
      </bottom>
      <diagonal/>
    </border>
    <border>
      <left style="medium">
        <color theme="6" tint="-0.499984740745262"/>
      </left>
      <right/>
      <top style="thin">
        <color theme="6"/>
      </top>
      <bottom style="medium">
        <color theme="2" tint="-0.749992370372631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indexed="64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6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499984740745262"/>
      </right>
      <top/>
      <bottom style="thin">
        <color indexed="64"/>
      </bottom>
      <diagonal/>
    </border>
    <border>
      <left/>
      <right style="medium">
        <color theme="2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2" tint="-0.499984740745262"/>
      </right>
      <top style="thin">
        <color indexed="64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theme="0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0" tint="-0.49998474074526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118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1" fontId="4" fillId="10" borderId="6" xfId="0" applyNumberFormat="1" applyFont="1" applyFill="1" applyBorder="1" applyAlignment="1">
      <alignment horizontal="left" vertical="center" wrapText="1" indent="1"/>
    </xf>
    <xf numFmtId="0" fontId="9" fillId="2" borderId="0" xfId="0" applyFont="1" applyFill="1" applyAlignment="1">
      <alignment vertical="center"/>
    </xf>
    <xf numFmtId="0" fontId="5" fillId="11" borderId="1" xfId="0" applyFont="1" applyFill="1" applyBorder="1" applyAlignment="1">
      <alignment horizontal="left" vertical="center" wrapText="1" indent="1" readingOrder="1"/>
    </xf>
    <xf numFmtId="0" fontId="4" fillId="4" borderId="2" xfId="0" applyFont="1" applyFill="1" applyBorder="1" applyAlignment="1">
      <alignment horizontal="left" vertical="center" wrapText="1" indent="1"/>
    </xf>
    <xf numFmtId="0" fontId="8" fillId="3" borderId="5" xfId="0" applyFont="1" applyFill="1" applyBorder="1" applyAlignment="1">
      <alignment horizontal="left" vertical="center" wrapText="1" indent="1"/>
    </xf>
    <xf numFmtId="0" fontId="5" fillId="12" borderId="1" xfId="0" applyFont="1" applyFill="1" applyBorder="1" applyAlignment="1">
      <alignment horizontal="left" vertical="center" wrapText="1" indent="1" readingOrder="1"/>
    </xf>
    <xf numFmtId="0" fontId="4" fillId="13" borderId="1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5" fillId="2" borderId="0" xfId="0" applyFont="1" applyFill="1" applyAlignment="1">
      <alignment horizontal="left" vertical="center" wrapText="1" indent="1" readingOrder="1"/>
    </xf>
    <xf numFmtId="164" fontId="4" fillId="2" borderId="0" xfId="0" applyNumberFormat="1" applyFont="1" applyFill="1" applyAlignment="1">
      <alignment horizontal="left" vertical="center" wrapText="1" indent="1"/>
    </xf>
    <xf numFmtId="165" fontId="5" fillId="0" borderId="0" xfId="0" applyNumberFormat="1" applyFont="1" applyAlignment="1">
      <alignment horizontal="left" vertical="center" wrapText="1" indent="1" readingOrder="1"/>
    </xf>
    <xf numFmtId="165" fontId="4" fillId="0" borderId="0" xfId="0" applyNumberFormat="1" applyFont="1" applyAlignment="1">
      <alignment horizontal="left" vertical="center" wrapText="1" indent="1"/>
    </xf>
    <xf numFmtId="1" fontId="4" fillId="0" borderId="0" xfId="0" applyNumberFormat="1" applyFont="1" applyAlignment="1">
      <alignment horizontal="left" vertical="center" wrapText="1" inden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wrapText="1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4" fillId="2" borderId="11" xfId="0" applyFont="1" applyFill="1" applyBorder="1" applyAlignment="1">
      <alignment horizontal="left" vertical="center" wrapText="1" indent="1" readingOrder="1"/>
    </xf>
    <xf numFmtId="166" fontId="4" fillId="0" borderId="3" xfId="0" applyNumberFormat="1" applyFont="1" applyBorder="1" applyAlignment="1">
      <alignment horizontal="left" vertical="center" wrapText="1" indent="1"/>
    </xf>
    <xf numFmtId="0" fontId="15" fillId="2" borderId="0" xfId="0" applyFont="1" applyFill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5" fillId="2" borderId="0" xfId="0" applyFont="1" applyFill="1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center" wrapText="1" indent="1" readingOrder="1"/>
    </xf>
    <xf numFmtId="0" fontId="14" fillId="2" borderId="15" xfId="0" applyFont="1" applyFill="1" applyBorder="1" applyAlignment="1">
      <alignment horizontal="left" vertical="center" wrapText="1" indent="1" readingOrder="1"/>
    </xf>
    <xf numFmtId="14" fontId="0" fillId="0" borderId="24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vertical="center" wrapText="1"/>
    </xf>
    <xf numFmtId="0" fontId="14" fillId="2" borderId="33" xfId="0" applyFont="1" applyFill="1" applyBorder="1" applyAlignment="1">
      <alignment horizontal="left" vertical="center" wrapText="1" indent="1" readingOrder="1"/>
    </xf>
    <xf numFmtId="0" fontId="10" fillId="0" borderId="34" xfId="0" applyFont="1" applyBorder="1" applyAlignment="1">
      <alignment horizontal="center" vertical="center" wrapText="1"/>
    </xf>
    <xf numFmtId="14" fontId="0" fillId="0" borderId="35" xfId="0" applyNumberForma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0" fillId="0" borderId="36" xfId="0" applyFont="1" applyBorder="1" applyAlignment="1">
      <alignment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9" borderId="22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left" vertical="center" wrapText="1" indent="1"/>
    </xf>
    <xf numFmtId="1" fontId="12" fillId="5" borderId="22" xfId="0" applyNumberFormat="1" applyFont="1" applyFill="1" applyBorder="1" applyAlignment="1">
      <alignment horizontal="center" vertical="center" wrapText="1"/>
    </xf>
    <xf numFmtId="166" fontId="12" fillId="5" borderId="22" xfId="0" applyNumberFormat="1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left" vertical="center" wrapText="1" indent="1"/>
    </xf>
    <xf numFmtId="0" fontId="12" fillId="5" borderId="22" xfId="0" applyFont="1" applyFill="1" applyBorder="1" applyAlignment="1">
      <alignment horizontal="left" vertical="center" indent="1"/>
    </xf>
    <xf numFmtId="0" fontId="12" fillId="5" borderId="22" xfId="0" applyFont="1" applyFill="1" applyBorder="1" applyAlignment="1">
      <alignment horizontal="center" vertical="center" wrapText="1"/>
    </xf>
    <xf numFmtId="0" fontId="12" fillId="6" borderId="22" xfId="0" applyFont="1" applyFill="1" applyBorder="1" applyAlignment="1">
      <alignment horizontal="center" vertical="center" wrapText="1"/>
    </xf>
    <xf numFmtId="0" fontId="12" fillId="6" borderId="22" xfId="0" applyFont="1" applyFill="1" applyBorder="1" applyAlignment="1">
      <alignment horizontal="left" vertical="center" wrapText="1" indent="1"/>
    </xf>
    <xf numFmtId="0" fontId="12" fillId="6" borderId="22" xfId="0" applyFont="1" applyFill="1" applyBorder="1" applyAlignment="1">
      <alignment horizontal="left" vertical="center" wrapText="1" indent="1" readingOrder="1"/>
    </xf>
    <xf numFmtId="164" fontId="12" fillId="6" borderId="22" xfId="0" applyNumberFormat="1" applyFont="1" applyFill="1" applyBorder="1" applyAlignment="1">
      <alignment horizontal="center" vertical="center" wrapText="1"/>
    </xf>
    <xf numFmtId="166" fontId="12" fillId="6" borderId="22" xfId="0" applyNumberFormat="1" applyFont="1" applyFill="1" applyBorder="1" applyAlignment="1">
      <alignment horizontal="center" vertical="center" wrapText="1" readingOrder="1"/>
    </xf>
    <xf numFmtId="166" fontId="12" fillId="6" borderId="22" xfId="0" applyNumberFormat="1" applyFont="1" applyFill="1" applyBorder="1" applyAlignment="1">
      <alignment horizontal="center" vertical="center" wrapText="1"/>
    </xf>
    <xf numFmtId="1" fontId="12" fillId="6" borderId="22" xfId="0" applyNumberFormat="1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left" vertical="center" wrapText="1" indent="1"/>
    </xf>
    <xf numFmtId="0" fontId="14" fillId="7" borderId="22" xfId="0" applyFont="1" applyFill="1" applyBorder="1" applyAlignment="1">
      <alignment horizontal="left" vertical="center" wrapText="1" indent="1" readingOrder="1"/>
    </xf>
    <xf numFmtId="166" fontId="12" fillId="7" borderId="22" xfId="0" applyNumberFormat="1" applyFont="1" applyFill="1" applyBorder="1" applyAlignment="1">
      <alignment horizontal="center" vertical="center" wrapText="1" readingOrder="1"/>
    </xf>
    <xf numFmtId="166" fontId="12" fillId="7" borderId="22" xfId="0" applyNumberFormat="1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left" vertical="center" wrapText="1" indent="1"/>
    </xf>
    <xf numFmtId="0" fontId="12" fillId="8" borderId="22" xfId="0" applyFont="1" applyFill="1" applyBorder="1" applyAlignment="1">
      <alignment horizontal="left" vertical="center" wrapText="1" indent="1" readingOrder="1"/>
    </xf>
    <xf numFmtId="166" fontId="12" fillId="8" borderId="22" xfId="0" applyNumberFormat="1" applyFont="1" applyFill="1" applyBorder="1" applyAlignment="1">
      <alignment horizontal="center" vertical="center" wrapText="1" readingOrder="1"/>
    </xf>
    <xf numFmtId="166" fontId="12" fillId="8" borderId="22" xfId="0" applyNumberFormat="1" applyFont="1" applyFill="1" applyBorder="1" applyAlignment="1">
      <alignment horizontal="center" vertical="center" wrapText="1"/>
    </xf>
    <xf numFmtId="0" fontId="12" fillId="15" borderId="22" xfId="0" applyFont="1" applyFill="1" applyBorder="1" applyAlignment="1">
      <alignment horizontal="center" vertical="center" wrapText="1"/>
    </xf>
    <xf numFmtId="0" fontId="12" fillId="15" borderId="22" xfId="0" applyFont="1" applyFill="1" applyBorder="1" applyAlignment="1">
      <alignment horizontal="left" vertical="center" wrapText="1" indent="1"/>
    </xf>
    <xf numFmtId="164" fontId="12" fillId="15" borderId="22" xfId="0" applyNumberFormat="1" applyFont="1" applyFill="1" applyBorder="1" applyAlignment="1">
      <alignment horizontal="center" vertical="center" wrapText="1"/>
    </xf>
    <xf numFmtId="166" fontId="12" fillId="15" borderId="22" xfId="0" applyNumberFormat="1" applyFont="1" applyFill="1" applyBorder="1" applyAlignment="1">
      <alignment horizontal="center" vertical="center" wrapText="1" readingOrder="1"/>
    </xf>
    <xf numFmtId="166" fontId="12" fillId="15" borderId="22" xfId="0" applyNumberFormat="1" applyFont="1" applyFill="1" applyBorder="1" applyAlignment="1">
      <alignment horizontal="center" vertical="center" wrapText="1"/>
    </xf>
    <xf numFmtId="1" fontId="12" fillId="15" borderId="22" xfId="0" applyNumberFormat="1" applyFont="1" applyFill="1" applyBorder="1" applyAlignment="1">
      <alignment horizontal="center" vertical="center" wrapText="1"/>
    </xf>
    <xf numFmtId="0" fontId="12" fillId="14" borderId="22" xfId="0" applyFont="1" applyFill="1" applyBorder="1" applyAlignment="1">
      <alignment horizontal="left" vertical="center" wrapText="1" indent="1"/>
    </xf>
    <xf numFmtId="1" fontId="12" fillId="14" borderId="22" xfId="0" applyNumberFormat="1" applyFont="1" applyFill="1" applyBorder="1" applyAlignment="1">
      <alignment horizontal="center" vertical="center" wrapText="1"/>
    </xf>
    <xf numFmtId="166" fontId="12" fillId="14" borderId="22" xfId="0" applyNumberFormat="1" applyFont="1" applyFill="1" applyBorder="1" applyAlignment="1">
      <alignment horizontal="center" vertical="center" wrapText="1"/>
    </xf>
    <xf numFmtId="166" fontId="12" fillId="14" borderId="22" xfId="0" applyNumberFormat="1" applyFont="1" applyFill="1" applyBorder="1" applyAlignment="1">
      <alignment horizontal="center" vertical="center" wrapText="1" readingOrder="1"/>
    </xf>
    <xf numFmtId="164" fontId="12" fillId="14" borderId="22" xfId="0" applyNumberFormat="1" applyFont="1" applyFill="1" applyBorder="1" applyAlignment="1">
      <alignment horizontal="center" vertical="center" wrapText="1"/>
    </xf>
    <xf numFmtId="0" fontId="12" fillId="14" borderId="22" xfId="0" applyFont="1" applyFill="1" applyBorder="1" applyAlignment="1">
      <alignment horizontal="left" vertical="center" wrapText="1" indent="1" readingOrder="1"/>
    </xf>
    <xf numFmtId="0" fontId="12" fillId="14" borderId="2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4" fontId="10" fillId="7" borderId="37" xfId="0" applyNumberFormat="1" applyFont="1" applyFill="1" applyBorder="1" applyAlignment="1">
      <alignment horizontal="center" vertical="center" wrapText="1"/>
    </xf>
    <xf numFmtId="164" fontId="12" fillId="8" borderId="37" xfId="0" applyNumberFormat="1" applyFont="1" applyFill="1" applyBorder="1" applyAlignment="1">
      <alignment horizontal="center" vertical="center" wrapText="1"/>
    </xf>
    <xf numFmtId="14" fontId="0" fillId="0" borderId="41" xfId="0" applyNumberFormat="1" applyBorder="1" applyAlignment="1">
      <alignment horizontal="center" vertical="center" wrapText="1"/>
    </xf>
    <xf numFmtId="1" fontId="12" fillId="7" borderId="23" xfId="0" applyNumberFormat="1" applyFont="1" applyFill="1" applyBorder="1" applyAlignment="1">
      <alignment horizontal="center" vertical="center" wrapText="1"/>
    </xf>
    <xf numFmtId="1" fontId="12" fillId="8" borderId="23" xfId="0" applyNumberFormat="1" applyFont="1" applyFill="1" applyBorder="1" applyAlignment="1">
      <alignment horizontal="center" vertical="center" wrapText="1"/>
    </xf>
    <xf numFmtId="14" fontId="0" fillId="0" borderId="42" xfId="0" applyNumberFormat="1" applyBorder="1" applyAlignment="1">
      <alignment horizontal="center" vertical="center" wrapText="1"/>
    </xf>
    <xf numFmtId="14" fontId="0" fillId="0" borderId="43" xfId="0" applyNumberFormat="1" applyBorder="1" applyAlignment="1">
      <alignment horizontal="center" vertical="center" wrapTex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36"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105"/>
  <sheetViews>
    <sheetView showGridLines="0" tabSelected="1" zoomScaleNormal="100" workbookViewId="0">
      <pane ySplit="1" topLeftCell="A38" activePane="bottomLeft" state="frozen"/>
      <selection pane="bottomLeft" activeCell="F51" sqref="F51"/>
    </sheetView>
  </sheetViews>
  <sheetFormatPr baseColWidth="10" defaultColWidth="11" defaultRowHeight="13.5" outlineLevelRow="1" x14ac:dyDescent="0.25"/>
  <cols>
    <col min="1" max="1" width="3.375" style="2" customWidth="1"/>
    <col min="2" max="2" width="7.875" style="2" customWidth="1"/>
    <col min="3" max="3" width="57" style="2" bestFit="1" customWidth="1"/>
    <col min="4" max="4" width="12.875" style="2" customWidth="1"/>
    <col min="5" max="5" width="20.875" style="2" customWidth="1"/>
    <col min="6" max="7" width="12.875" style="2" bestFit="1" customWidth="1"/>
    <col min="8" max="8" width="15.125" style="2" customWidth="1"/>
    <col min="9" max="9" width="50.875" style="2" customWidth="1"/>
    <col min="10" max="10" width="3.375" style="2" customWidth="1"/>
    <col min="11" max="11" width="12.875" style="2" customWidth="1"/>
    <col min="12" max="12" width="11" style="2"/>
    <col min="13" max="13" width="11.125" style="2" bestFit="1" customWidth="1"/>
    <col min="14" max="14" width="19.5" style="2" customWidth="1"/>
    <col min="15" max="16" width="11" style="2"/>
    <col min="17" max="17" width="11.875" style="2" bestFit="1" customWidth="1"/>
    <col min="18" max="18" width="10.875" style="2" bestFit="1" customWidth="1"/>
    <col min="19" max="19" width="11.125" style="2" bestFit="1" customWidth="1"/>
    <col min="20" max="16384" width="11" style="2"/>
  </cols>
  <sheetData>
    <row r="1" spans="1:258" ht="57" customHeight="1" x14ac:dyDescent="0.25">
      <c r="A1" s="1"/>
      <c r="B1" s="12" t="s">
        <v>172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8" customFormat="1" ht="18" customHeight="1" x14ac:dyDescent="0.25">
      <c r="A2" s="7"/>
      <c r="B2" s="7"/>
      <c r="C2" s="33" t="s">
        <v>7</v>
      </c>
      <c r="D2" s="7"/>
      <c r="E2" s="33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</row>
    <row r="3" spans="1:258" ht="30" customHeight="1" thickBot="1" x14ac:dyDescent="0.3">
      <c r="A3" s="1"/>
      <c r="B3" s="1"/>
      <c r="C3" s="9" t="s">
        <v>172</v>
      </c>
      <c r="D3" s="1"/>
      <c r="E3" s="32">
        <v>46086</v>
      </c>
      <c r="F3" s="1"/>
      <c r="G3" s="1"/>
      <c r="H3" s="35" t="s">
        <v>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8" customFormat="1" ht="18" customHeight="1" thickBot="1" x14ac:dyDescent="0.3">
      <c r="A4" s="7"/>
      <c r="B4" s="7"/>
      <c r="C4" s="34" t="s">
        <v>8</v>
      </c>
      <c r="D4" s="7"/>
      <c r="E4" s="34" t="s">
        <v>10</v>
      </c>
      <c r="F4" s="7"/>
      <c r="G4" s="7"/>
      <c r="H4" s="33" t="s">
        <v>170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</row>
    <row r="5" spans="1:258" ht="30" customHeight="1" thickBot="1" x14ac:dyDescent="0.3">
      <c r="A5" s="1"/>
      <c r="B5" s="1"/>
      <c r="C5" s="10" t="s">
        <v>171</v>
      </c>
      <c r="D5" s="1"/>
      <c r="E5" s="32">
        <v>46193</v>
      </c>
      <c r="F5" s="1"/>
      <c r="G5" s="1"/>
      <c r="H5" s="11">
        <f>SUM(H8+H20+H28+H37+H49+H56)</f>
        <v>162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4.25" thickBot="1" x14ac:dyDescent="0.3">
      <c r="A6" s="1"/>
      <c r="B6" s="1"/>
      <c r="C6" s="1"/>
      <c r="D6" s="1"/>
      <c r="E6" s="27"/>
      <c r="F6" s="1"/>
      <c r="G6" s="1"/>
      <c r="H6" s="2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6" customFormat="1" ht="35.1" customHeight="1" thickBot="1" x14ac:dyDescent="0.3">
      <c r="A7" s="5"/>
      <c r="B7" s="68" t="s">
        <v>0</v>
      </c>
      <c r="C7" s="68" t="s">
        <v>1</v>
      </c>
      <c r="D7" s="68" t="s">
        <v>2</v>
      </c>
      <c r="E7" s="68" t="s">
        <v>3</v>
      </c>
      <c r="F7" s="69" t="s">
        <v>4</v>
      </c>
      <c r="G7" s="69" t="s">
        <v>5</v>
      </c>
      <c r="H7" s="68" t="s">
        <v>16</v>
      </c>
      <c r="I7" s="68" t="s">
        <v>6</v>
      </c>
      <c r="J7" s="5"/>
      <c r="K7" s="15" t="s">
        <v>2</v>
      </c>
      <c r="L7" s="5"/>
      <c r="M7" s="5"/>
      <c r="N7" s="36"/>
      <c r="O7" s="36"/>
      <c r="P7" s="36"/>
      <c r="Q7" s="36"/>
      <c r="R7" s="38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</row>
    <row r="8" spans="1:258" s="4" customFormat="1" ht="24.95" customHeight="1" thickBot="1" x14ac:dyDescent="0.3">
      <c r="A8" s="3"/>
      <c r="B8" s="76">
        <v>1</v>
      </c>
      <c r="C8" s="75" t="s">
        <v>17</v>
      </c>
      <c r="D8" s="74"/>
      <c r="E8" s="73"/>
      <c r="F8" s="72">
        <v>46086</v>
      </c>
      <c r="G8" s="72">
        <v>46090</v>
      </c>
      <c r="H8" s="71">
        <f>SUM(H9:H19)</f>
        <v>26</v>
      </c>
      <c r="I8" s="70" t="s">
        <v>19</v>
      </c>
      <c r="J8" s="3"/>
      <c r="K8" s="14" t="s">
        <v>14</v>
      </c>
      <c r="L8" s="3"/>
      <c r="M8" s="3"/>
      <c r="N8" s="39"/>
      <c r="O8" s="39"/>
      <c r="P8" s="107"/>
      <c r="Q8" s="107"/>
      <c r="R8" s="3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58" s="4" customFormat="1" ht="24.95" customHeight="1" outlineLevel="1" thickBot="1" x14ac:dyDescent="0.3">
      <c r="A9" s="3"/>
      <c r="B9" s="55" t="s">
        <v>20</v>
      </c>
      <c r="C9" s="28" t="s">
        <v>21</v>
      </c>
      <c r="D9" s="50" t="s">
        <v>12</v>
      </c>
      <c r="E9" s="41" t="s">
        <v>18</v>
      </c>
      <c r="F9" s="48">
        <v>46086</v>
      </c>
      <c r="G9" s="48">
        <v>46086</v>
      </c>
      <c r="H9" s="46">
        <v>2</v>
      </c>
      <c r="I9" s="56" t="s">
        <v>22</v>
      </c>
      <c r="J9" s="3"/>
      <c r="K9" s="13" t="s">
        <v>13</v>
      </c>
      <c r="L9" s="3"/>
      <c r="M9" s="3"/>
      <c r="N9" s="39"/>
      <c r="O9" s="39"/>
      <c r="P9" s="107"/>
      <c r="Q9" s="107"/>
      <c r="R9" s="37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58" s="4" customFormat="1" ht="24.95" customHeight="1" outlineLevel="1" thickBot="1" x14ac:dyDescent="0.3">
      <c r="A10" s="24"/>
      <c r="B10" s="57" t="s">
        <v>23</v>
      </c>
      <c r="C10" s="29" t="s">
        <v>24</v>
      </c>
      <c r="D10" s="31" t="s">
        <v>12</v>
      </c>
      <c r="E10" s="42" t="s">
        <v>25</v>
      </c>
      <c r="F10" s="49">
        <v>46086</v>
      </c>
      <c r="G10" s="49">
        <v>46086</v>
      </c>
      <c r="H10" s="47">
        <v>2</v>
      </c>
      <c r="I10" s="58" t="s">
        <v>26</v>
      </c>
      <c r="J10" s="3"/>
      <c r="K10" s="16" t="s">
        <v>12</v>
      </c>
      <c r="L10" s="3"/>
      <c r="M10" s="3"/>
      <c r="N10" s="39"/>
      <c r="O10" s="39"/>
      <c r="P10" s="107"/>
      <c r="Q10" s="107"/>
      <c r="R10" s="3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58" s="4" customFormat="1" ht="24.95" customHeight="1" outlineLevel="1" thickBot="1" x14ac:dyDescent="0.3">
      <c r="A11" s="25"/>
      <c r="B11" s="57" t="s">
        <v>27</v>
      </c>
      <c r="C11" s="29" t="s">
        <v>28</v>
      </c>
      <c r="D11" s="31" t="s">
        <v>12</v>
      </c>
      <c r="E11" s="42" t="s">
        <v>25</v>
      </c>
      <c r="F11" s="49">
        <v>46087</v>
      </c>
      <c r="G11" s="49">
        <v>46087</v>
      </c>
      <c r="H11" s="47">
        <v>2</v>
      </c>
      <c r="I11" s="58" t="s">
        <v>26</v>
      </c>
      <c r="J11" s="3"/>
      <c r="K11" s="17" t="s">
        <v>15</v>
      </c>
      <c r="L11" s="3"/>
      <c r="M11" s="3"/>
      <c r="N11" s="39"/>
      <c r="O11" s="39"/>
      <c r="P11" s="107"/>
      <c r="Q11" s="107"/>
      <c r="R11" s="3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  <row r="12" spans="1:258" s="4" customFormat="1" ht="24.95" customHeight="1" outlineLevel="1" thickBot="1" x14ac:dyDescent="0.3">
      <c r="A12" s="25"/>
      <c r="B12" s="57" t="s">
        <v>29</v>
      </c>
      <c r="C12" s="29" t="s">
        <v>30</v>
      </c>
      <c r="D12" s="31" t="s">
        <v>12</v>
      </c>
      <c r="E12" s="42" t="s">
        <v>25</v>
      </c>
      <c r="F12" s="49">
        <v>46087</v>
      </c>
      <c r="G12" s="49">
        <v>46087</v>
      </c>
      <c r="H12" s="47">
        <v>2</v>
      </c>
      <c r="I12" s="58" t="s">
        <v>26</v>
      </c>
      <c r="J12" s="3"/>
      <c r="K12" s="1"/>
      <c r="L12" s="3"/>
      <c r="M12" s="3"/>
      <c r="N12" s="39"/>
      <c r="O12" s="39"/>
      <c r="P12" s="107"/>
      <c r="Q12" s="107"/>
      <c r="R12" s="3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</row>
    <row r="13" spans="1:258" s="4" customFormat="1" ht="24.95" customHeight="1" outlineLevel="1" thickBot="1" x14ac:dyDescent="0.3">
      <c r="A13" s="26"/>
      <c r="B13" s="57" t="s">
        <v>31</v>
      </c>
      <c r="C13" s="29" t="s">
        <v>32</v>
      </c>
      <c r="D13" s="31" t="s">
        <v>12</v>
      </c>
      <c r="E13" s="42" t="s">
        <v>18</v>
      </c>
      <c r="F13" s="49">
        <v>46088</v>
      </c>
      <c r="G13" s="49">
        <v>46088</v>
      </c>
      <c r="H13" s="47">
        <v>2</v>
      </c>
      <c r="I13" s="58" t="s">
        <v>33</v>
      </c>
      <c r="J13" s="3"/>
      <c r="K13" s="1"/>
      <c r="L13" s="3"/>
      <c r="M13" s="3"/>
      <c r="N13" s="39"/>
      <c r="O13" s="39"/>
      <c r="P13" s="107"/>
      <c r="Q13" s="107"/>
      <c r="R13" s="3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</row>
    <row r="14" spans="1:258" s="4" customFormat="1" ht="24.95" customHeight="1" outlineLevel="1" thickBot="1" x14ac:dyDescent="0.3">
      <c r="A14" s="3"/>
      <c r="B14" s="57" t="s">
        <v>34</v>
      </c>
      <c r="C14" s="29" t="s">
        <v>35</v>
      </c>
      <c r="D14" s="31" t="s">
        <v>12</v>
      </c>
      <c r="E14" s="42" t="s">
        <v>36</v>
      </c>
      <c r="F14" s="49">
        <v>46088</v>
      </c>
      <c r="G14" s="49">
        <v>46089</v>
      </c>
      <c r="H14" s="47">
        <v>3</v>
      </c>
      <c r="I14" s="58" t="s">
        <v>37</v>
      </c>
      <c r="J14" s="3"/>
      <c r="K14" s="1"/>
      <c r="L14" s="3"/>
      <c r="M14" s="3"/>
      <c r="N14" s="39"/>
      <c r="O14" s="39"/>
      <c r="P14" s="107"/>
      <c r="Q14" s="107"/>
      <c r="R14" s="3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</row>
    <row r="15" spans="1:258" s="4" customFormat="1" ht="24.95" customHeight="1" outlineLevel="1" thickBot="1" x14ac:dyDescent="0.3">
      <c r="A15" s="3"/>
      <c r="B15" s="57" t="s">
        <v>38</v>
      </c>
      <c r="C15" s="29" t="s">
        <v>39</v>
      </c>
      <c r="D15" s="31" t="s">
        <v>12</v>
      </c>
      <c r="E15" s="42" t="s">
        <v>36</v>
      </c>
      <c r="F15" s="49">
        <v>46089</v>
      </c>
      <c r="G15" s="49">
        <v>46089</v>
      </c>
      <c r="H15" s="47">
        <v>2</v>
      </c>
      <c r="I15" s="58" t="s">
        <v>37</v>
      </c>
      <c r="J15" s="3"/>
      <c r="K15" s="1"/>
      <c r="L15" s="3"/>
      <c r="M15" s="3"/>
      <c r="N15" s="39"/>
      <c r="O15" s="39"/>
      <c r="P15" s="107"/>
      <c r="Q15" s="107"/>
      <c r="R15" s="3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</row>
    <row r="16" spans="1:258" s="4" customFormat="1" ht="24.95" customHeight="1" outlineLevel="1" thickBot="1" x14ac:dyDescent="0.3">
      <c r="A16" s="3"/>
      <c r="B16" s="57" t="s">
        <v>41</v>
      </c>
      <c r="C16" s="29" t="s">
        <v>42</v>
      </c>
      <c r="D16" s="31" t="s">
        <v>12</v>
      </c>
      <c r="E16" s="42" t="s">
        <v>25</v>
      </c>
      <c r="F16" s="49">
        <v>46090</v>
      </c>
      <c r="G16" s="49">
        <v>46090</v>
      </c>
      <c r="H16" s="47">
        <v>2</v>
      </c>
      <c r="I16" s="58" t="s">
        <v>43</v>
      </c>
      <c r="J16" s="3"/>
      <c r="K16" s="1"/>
      <c r="L16" s="3"/>
      <c r="M16" s="3"/>
      <c r="N16" s="39"/>
      <c r="O16" s="39"/>
      <c r="P16" s="107"/>
      <c r="Q16" s="107"/>
      <c r="R16" s="3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</row>
    <row r="17" spans="1:242" s="4" customFormat="1" ht="24.95" customHeight="1" outlineLevel="1" thickBot="1" x14ac:dyDescent="0.3">
      <c r="A17" s="3"/>
      <c r="B17" s="57" t="s">
        <v>44</v>
      </c>
      <c r="C17" s="29" t="s">
        <v>45</v>
      </c>
      <c r="D17" s="31" t="s">
        <v>12</v>
      </c>
      <c r="E17" s="42" t="s">
        <v>36</v>
      </c>
      <c r="F17" s="49">
        <v>46090</v>
      </c>
      <c r="G17" s="49">
        <v>46090</v>
      </c>
      <c r="H17" s="47">
        <v>4</v>
      </c>
      <c r="I17" s="58" t="s">
        <v>46</v>
      </c>
      <c r="J17" s="3"/>
      <c r="K17" s="1"/>
      <c r="L17" s="3"/>
      <c r="M17" s="3"/>
      <c r="N17" s="39"/>
      <c r="O17" s="39"/>
      <c r="P17" s="107"/>
      <c r="Q17" s="107"/>
      <c r="R17" s="3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</row>
    <row r="18" spans="1:242" s="4" customFormat="1" ht="24.95" customHeight="1" outlineLevel="1" thickBot="1" x14ac:dyDescent="0.3">
      <c r="A18" s="3"/>
      <c r="B18" s="57" t="s">
        <v>47</v>
      </c>
      <c r="C18" s="29" t="s">
        <v>48</v>
      </c>
      <c r="D18" s="31" t="s">
        <v>12</v>
      </c>
      <c r="E18" s="42" t="s">
        <v>40</v>
      </c>
      <c r="F18" s="49">
        <v>46090</v>
      </c>
      <c r="G18" s="49">
        <v>46090</v>
      </c>
      <c r="H18" s="47">
        <v>3</v>
      </c>
      <c r="I18" s="58" t="s">
        <v>49</v>
      </c>
      <c r="J18" s="3"/>
      <c r="K18" s="1"/>
      <c r="L18" s="3"/>
      <c r="M18" s="3"/>
      <c r="N18" s="39"/>
      <c r="O18" s="39"/>
      <c r="P18" s="107"/>
      <c r="Q18" s="107"/>
      <c r="R18" s="3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</row>
    <row r="19" spans="1:242" s="4" customFormat="1" ht="24.95" customHeight="1" outlineLevel="1" thickBot="1" x14ac:dyDescent="0.3">
      <c r="A19" s="3"/>
      <c r="B19" s="59" t="s">
        <v>50</v>
      </c>
      <c r="C19" s="30" t="s">
        <v>51</v>
      </c>
      <c r="D19" s="51" t="s">
        <v>12</v>
      </c>
      <c r="E19" s="43" t="s">
        <v>25</v>
      </c>
      <c r="F19" s="52">
        <v>46090</v>
      </c>
      <c r="G19" s="52">
        <v>46090</v>
      </c>
      <c r="H19" s="53">
        <v>2</v>
      </c>
      <c r="I19" s="60" t="s">
        <v>52</v>
      </c>
      <c r="J19" s="3"/>
      <c r="K19" s="1"/>
      <c r="L19" s="3"/>
      <c r="M19" s="3"/>
      <c r="N19" s="39"/>
      <c r="O19" s="39"/>
      <c r="P19" s="107"/>
      <c r="Q19" s="107"/>
      <c r="R19" s="3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</row>
    <row r="20" spans="1:242" s="4" customFormat="1" ht="24.95" customHeight="1" thickBot="1" x14ac:dyDescent="0.3">
      <c r="A20" s="3"/>
      <c r="B20" s="77">
        <v>2</v>
      </c>
      <c r="C20" s="78" t="s">
        <v>53</v>
      </c>
      <c r="D20" s="79"/>
      <c r="E20" s="80"/>
      <c r="F20" s="81">
        <v>46091</v>
      </c>
      <c r="G20" s="82">
        <v>46094</v>
      </c>
      <c r="H20" s="83">
        <f>SUM(H21:H27)</f>
        <v>18</v>
      </c>
      <c r="I20" s="78" t="s">
        <v>54</v>
      </c>
      <c r="J20" s="3"/>
      <c r="K20" s="1"/>
      <c r="L20" s="3"/>
      <c r="M20" s="36"/>
      <c r="N20" s="39"/>
      <c r="O20" s="39"/>
      <c r="P20" s="107"/>
      <c r="Q20" s="107"/>
      <c r="R20" s="3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</row>
    <row r="21" spans="1:242" s="4" customFormat="1" ht="24.95" customHeight="1" outlineLevel="1" thickBot="1" x14ac:dyDescent="0.3">
      <c r="A21" s="3"/>
      <c r="B21" s="55" t="s">
        <v>55</v>
      </c>
      <c r="C21" s="28" t="s">
        <v>56</v>
      </c>
      <c r="D21" s="50" t="s">
        <v>12</v>
      </c>
      <c r="E21" s="41" t="s">
        <v>40</v>
      </c>
      <c r="F21" s="48">
        <v>46091</v>
      </c>
      <c r="G21" s="48">
        <v>46091</v>
      </c>
      <c r="H21" s="46">
        <v>3</v>
      </c>
      <c r="I21" s="56" t="s">
        <v>57</v>
      </c>
      <c r="J21" s="3"/>
      <c r="K21" s="1"/>
      <c r="L21" s="3"/>
      <c r="M21" s="39"/>
      <c r="N21" s="39"/>
      <c r="O21" s="39"/>
      <c r="P21" s="107"/>
      <c r="Q21" s="107"/>
      <c r="R21" s="3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</row>
    <row r="22" spans="1:242" s="4" customFormat="1" ht="24.95" customHeight="1" outlineLevel="1" thickBot="1" x14ac:dyDescent="0.3">
      <c r="A22" s="3"/>
      <c r="B22" s="57" t="s">
        <v>58</v>
      </c>
      <c r="C22" s="29" t="s">
        <v>59</v>
      </c>
      <c r="D22" s="31" t="s">
        <v>12</v>
      </c>
      <c r="E22" s="41" t="s">
        <v>63</v>
      </c>
      <c r="F22" s="49">
        <v>46091</v>
      </c>
      <c r="G22" s="49">
        <v>46091</v>
      </c>
      <c r="H22" s="47">
        <v>3</v>
      </c>
      <c r="I22" s="58" t="s">
        <v>60</v>
      </c>
      <c r="J22" s="3"/>
      <c r="K22" s="1"/>
      <c r="L22" s="3"/>
      <c r="M22" s="39"/>
      <c r="N22" s="39"/>
      <c r="O22" s="39"/>
      <c r="P22" s="107"/>
      <c r="Q22" s="107"/>
      <c r="R22" s="3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</row>
    <row r="23" spans="1:242" s="4" customFormat="1" ht="24.95" customHeight="1" outlineLevel="1" thickBot="1" x14ac:dyDescent="0.3">
      <c r="A23" s="3"/>
      <c r="B23" s="57" t="s">
        <v>61</v>
      </c>
      <c r="C23" s="29" t="s">
        <v>62</v>
      </c>
      <c r="D23" s="31" t="s">
        <v>12</v>
      </c>
      <c r="E23" s="42" t="s">
        <v>40</v>
      </c>
      <c r="F23" s="49">
        <v>46092</v>
      </c>
      <c r="G23" s="49">
        <v>46093</v>
      </c>
      <c r="H23" s="47">
        <v>4</v>
      </c>
      <c r="I23" s="58" t="s">
        <v>64</v>
      </c>
      <c r="J23" s="3"/>
      <c r="K23" s="1"/>
      <c r="L23" s="3"/>
      <c r="M23" s="39"/>
      <c r="N23" s="39"/>
      <c r="O23" s="39"/>
      <c r="P23" s="107"/>
      <c r="Q23" s="107"/>
      <c r="R23" s="3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</row>
    <row r="24" spans="1:242" s="4" customFormat="1" ht="24.95" customHeight="1" outlineLevel="1" thickBot="1" x14ac:dyDescent="0.3">
      <c r="A24" s="3"/>
      <c r="B24" s="57" t="s">
        <v>65</v>
      </c>
      <c r="C24" s="29" t="s">
        <v>66</v>
      </c>
      <c r="D24" s="31" t="s">
        <v>12</v>
      </c>
      <c r="E24" s="42" t="s">
        <v>40</v>
      </c>
      <c r="F24" s="49">
        <v>46093</v>
      </c>
      <c r="G24" s="49">
        <v>46093</v>
      </c>
      <c r="H24" s="47">
        <v>2</v>
      </c>
      <c r="I24" s="58" t="s">
        <v>67</v>
      </c>
      <c r="J24" s="3"/>
      <c r="K24" s="1"/>
      <c r="L24" s="3"/>
      <c r="M24" s="39"/>
      <c r="N24" s="39"/>
      <c r="O24" s="39"/>
      <c r="P24" s="107"/>
      <c r="Q24" s="107"/>
      <c r="R24" s="3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</row>
    <row r="25" spans="1:242" s="4" customFormat="1" ht="24.95" customHeight="1" outlineLevel="1" thickBot="1" x14ac:dyDescent="0.3">
      <c r="A25" s="3"/>
      <c r="B25" s="57" t="s">
        <v>68</v>
      </c>
      <c r="C25" s="29" t="s">
        <v>69</v>
      </c>
      <c r="D25" s="31" t="s">
        <v>12</v>
      </c>
      <c r="E25" s="42" t="s">
        <v>40</v>
      </c>
      <c r="F25" s="49">
        <v>46093</v>
      </c>
      <c r="G25" s="49">
        <v>46093</v>
      </c>
      <c r="H25" s="47">
        <v>2</v>
      </c>
      <c r="I25" s="58" t="s">
        <v>70</v>
      </c>
      <c r="J25" s="3"/>
      <c r="K25" s="1"/>
      <c r="L25" s="3"/>
      <c r="M25" s="39"/>
      <c r="N25" s="39"/>
      <c r="O25" s="39"/>
      <c r="P25" s="107"/>
      <c r="Q25" s="107"/>
      <c r="R25" s="3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</row>
    <row r="26" spans="1:242" s="4" customFormat="1" ht="24.95" customHeight="1" outlineLevel="1" thickBot="1" x14ac:dyDescent="0.3">
      <c r="A26" s="3"/>
      <c r="B26" s="57" t="s">
        <v>71</v>
      </c>
      <c r="C26" s="29" t="s">
        <v>72</v>
      </c>
      <c r="D26" s="31" t="s">
        <v>12</v>
      </c>
      <c r="E26" s="42" t="s">
        <v>36</v>
      </c>
      <c r="F26" s="49">
        <v>46094</v>
      </c>
      <c r="G26" s="49">
        <v>46094</v>
      </c>
      <c r="H26" s="47">
        <v>2</v>
      </c>
      <c r="I26" s="58" t="s">
        <v>73</v>
      </c>
      <c r="J26" s="3"/>
      <c r="K26" s="1"/>
      <c r="L26" s="3"/>
      <c r="M26" s="39"/>
      <c r="N26" s="39"/>
      <c r="O26" s="39"/>
      <c r="P26" s="107"/>
      <c r="Q26" s="107"/>
      <c r="R26" s="3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</row>
    <row r="27" spans="1:242" s="4" customFormat="1" ht="24.95" customHeight="1" outlineLevel="1" thickBot="1" x14ac:dyDescent="0.3">
      <c r="A27" s="3"/>
      <c r="B27" s="59" t="s">
        <v>74</v>
      </c>
      <c r="C27" s="30" t="s">
        <v>75</v>
      </c>
      <c r="D27" s="51" t="s">
        <v>12</v>
      </c>
      <c r="E27" s="43" t="s">
        <v>18</v>
      </c>
      <c r="F27" s="52">
        <v>46094</v>
      </c>
      <c r="G27" s="52">
        <v>46094</v>
      </c>
      <c r="H27" s="53">
        <v>2</v>
      </c>
      <c r="I27" s="60" t="s">
        <v>76</v>
      </c>
      <c r="J27" s="3"/>
      <c r="K27" s="1"/>
      <c r="L27" s="3"/>
      <c r="M27" s="39"/>
      <c r="N27" s="39"/>
      <c r="O27" s="39"/>
      <c r="P27" s="107"/>
      <c r="Q27" s="107"/>
      <c r="R27" s="3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</row>
    <row r="28" spans="1:242" s="4" customFormat="1" ht="24.95" customHeight="1" thickBot="1" x14ac:dyDescent="0.3">
      <c r="A28" s="3"/>
      <c r="B28" s="84">
        <v>3</v>
      </c>
      <c r="C28" s="85" t="s">
        <v>77</v>
      </c>
      <c r="D28" s="86"/>
      <c r="E28" s="111"/>
      <c r="F28" s="87">
        <v>46097</v>
      </c>
      <c r="G28" s="88">
        <v>46101</v>
      </c>
      <c r="H28" s="114">
        <f>SUM(H29:H36)</f>
        <v>24</v>
      </c>
      <c r="I28" s="85" t="s">
        <v>78</v>
      </c>
      <c r="J28" s="3"/>
      <c r="K28" s="1"/>
      <c r="L28" s="3"/>
      <c r="M28" s="36"/>
      <c r="N28" s="39"/>
      <c r="O28" s="39"/>
      <c r="P28" s="107"/>
      <c r="Q28" s="107"/>
      <c r="R28" s="3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</row>
    <row r="29" spans="1:242" s="4" customFormat="1" ht="24.95" customHeight="1" outlineLevel="1" thickBot="1" x14ac:dyDescent="0.3">
      <c r="A29" s="3"/>
      <c r="B29" s="55" t="s">
        <v>79</v>
      </c>
      <c r="C29" s="28" t="s">
        <v>80</v>
      </c>
      <c r="D29" s="51" t="s">
        <v>12</v>
      </c>
      <c r="E29" s="54" t="s">
        <v>18</v>
      </c>
      <c r="F29" s="116">
        <v>46097</v>
      </c>
      <c r="G29" s="116">
        <v>46097</v>
      </c>
      <c r="H29" s="108">
        <v>3</v>
      </c>
      <c r="I29" s="56" t="s">
        <v>81</v>
      </c>
      <c r="J29" s="3"/>
      <c r="K29" s="1"/>
      <c r="L29" s="3"/>
      <c r="M29" s="39"/>
      <c r="N29" s="39"/>
      <c r="O29" s="39"/>
      <c r="P29" s="107"/>
      <c r="Q29" s="107"/>
      <c r="R29" s="3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</row>
    <row r="30" spans="1:242" s="4" customFormat="1" ht="24.95" customHeight="1" outlineLevel="1" thickBot="1" x14ac:dyDescent="0.3">
      <c r="A30" s="3"/>
      <c r="B30" s="57" t="s">
        <v>82</v>
      </c>
      <c r="C30" s="29" t="s">
        <v>83</v>
      </c>
      <c r="D30" s="51" t="s">
        <v>12</v>
      </c>
      <c r="E30" s="44" t="s">
        <v>18</v>
      </c>
      <c r="F30" s="113">
        <v>46097</v>
      </c>
      <c r="G30" s="113">
        <v>46097</v>
      </c>
      <c r="H30" s="109">
        <v>3</v>
      </c>
      <c r="I30" s="58" t="s">
        <v>84</v>
      </c>
      <c r="J30" s="3"/>
      <c r="K30" s="1"/>
      <c r="L30" s="3"/>
      <c r="M30" s="39"/>
      <c r="N30" s="39"/>
      <c r="O30" s="39"/>
      <c r="P30" s="107"/>
      <c r="Q30" s="107"/>
      <c r="R30" s="3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</row>
    <row r="31" spans="1:242" s="4" customFormat="1" ht="24.95" customHeight="1" outlineLevel="1" thickBot="1" x14ac:dyDescent="0.3">
      <c r="A31" s="3"/>
      <c r="B31" s="57" t="s">
        <v>85</v>
      </c>
      <c r="C31" s="29" t="s">
        <v>86</v>
      </c>
      <c r="D31" s="51" t="s">
        <v>12</v>
      </c>
      <c r="E31" s="44" t="s">
        <v>18</v>
      </c>
      <c r="F31" s="113">
        <v>46098</v>
      </c>
      <c r="G31" s="113">
        <v>46098</v>
      </c>
      <c r="H31" s="109">
        <v>4</v>
      </c>
      <c r="I31" s="58" t="s">
        <v>87</v>
      </c>
      <c r="J31" s="3"/>
      <c r="K31" s="1"/>
      <c r="L31" s="3"/>
      <c r="M31" s="39"/>
      <c r="N31" s="39"/>
      <c r="O31" s="39"/>
      <c r="P31" s="107"/>
      <c r="Q31" s="107"/>
      <c r="R31" s="3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</row>
    <row r="32" spans="1:242" s="4" customFormat="1" ht="24.95" customHeight="1" outlineLevel="1" thickBot="1" x14ac:dyDescent="0.3">
      <c r="A32" s="3"/>
      <c r="B32" s="57" t="s">
        <v>88</v>
      </c>
      <c r="C32" s="29" t="s">
        <v>89</v>
      </c>
      <c r="D32" s="51" t="s">
        <v>12</v>
      </c>
      <c r="E32" s="44" t="s">
        <v>18</v>
      </c>
      <c r="F32" s="113">
        <v>46099</v>
      </c>
      <c r="G32" s="113">
        <v>46099</v>
      </c>
      <c r="H32" s="109">
        <v>3</v>
      </c>
      <c r="I32" s="58" t="s">
        <v>90</v>
      </c>
      <c r="J32" s="3"/>
      <c r="K32" s="1"/>
      <c r="L32" s="3"/>
      <c r="M32" s="39"/>
      <c r="N32" s="39"/>
      <c r="O32" s="39"/>
      <c r="P32" s="107"/>
      <c r="Q32" s="107"/>
      <c r="R32" s="3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</row>
    <row r="33" spans="1:242" s="4" customFormat="1" ht="24.95" customHeight="1" outlineLevel="1" thickBot="1" x14ac:dyDescent="0.3">
      <c r="A33" s="3"/>
      <c r="B33" s="57" t="s">
        <v>91</v>
      </c>
      <c r="C33" s="29" t="s">
        <v>92</v>
      </c>
      <c r="D33" s="51" t="s">
        <v>12</v>
      </c>
      <c r="E33" s="44" t="s">
        <v>25</v>
      </c>
      <c r="F33" s="113">
        <v>46099</v>
      </c>
      <c r="G33" s="113">
        <v>46099</v>
      </c>
      <c r="H33" s="109">
        <v>3</v>
      </c>
      <c r="I33" s="58" t="s">
        <v>93</v>
      </c>
      <c r="J33" s="3"/>
      <c r="K33" s="1"/>
      <c r="L33" s="3"/>
      <c r="M33" s="39"/>
      <c r="N33" s="39"/>
      <c r="O33" s="39"/>
      <c r="P33" s="107"/>
      <c r="Q33" s="107"/>
      <c r="R33" s="3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</row>
    <row r="34" spans="1:242" s="4" customFormat="1" ht="24.95" customHeight="1" outlineLevel="1" thickBot="1" x14ac:dyDescent="0.3">
      <c r="A34" s="3"/>
      <c r="B34" s="57" t="s">
        <v>94</v>
      </c>
      <c r="C34" s="29" t="s">
        <v>95</v>
      </c>
      <c r="D34" s="51" t="s">
        <v>12</v>
      </c>
      <c r="E34" s="44" t="s">
        <v>18</v>
      </c>
      <c r="F34" s="113">
        <v>46100</v>
      </c>
      <c r="G34" s="113">
        <v>46100</v>
      </c>
      <c r="H34" s="109">
        <v>2</v>
      </c>
      <c r="I34" s="58" t="s">
        <v>96</v>
      </c>
      <c r="J34" s="3"/>
      <c r="K34" s="1"/>
      <c r="L34" s="3"/>
      <c r="M34" s="39"/>
      <c r="N34" s="39"/>
      <c r="O34" s="39"/>
      <c r="P34" s="107"/>
      <c r="Q34" s="107"/>
      <c r="R34" s="3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</row>
    <row r="35" spans="1:242" s="4" customFormat="1" ht="24.95" customHeight="1" outlineLevel="1" thickBot="1" x14ac:dyDescent="0.3">
      <c r="A35" s="3"/>
      <c r="B35" s="57" t="s">
        <v>97</v>
      </c>
      <c r="C35" s="29" t="s">
        <v>98</v>
      </c>
      <c r="D35" s="51" t="s">
        <v>12</v>
      </c>
      <c r="E35" s="44" t="s">
        <v>18</v>
      </c>
      <c r="F35" s="113">
        <v>46100</v>
      </c>
      <c r="G35" s="113">
        <v>46100</v>
      </c>
      <c r="H35" s="109">
        <v>2</v>
      </c>
      <c r="I35" s="58" t="s">
        <v>96</v>
      </c>
      <c r="J35" s="3"/>
      <c r="K35" s="1"/>
      <c r="L35" s="3"/>
      <c r="M35" s="39"/>
      <c r="N35" s="39"/>
      <c r="O35" s="39"/>
      <c r="P35" s="107"/>
      <c r="Q35" s="107"/>
      <c r="R35" s="3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</row>
    <row r="36" spans="1:242" s="4" customFormat="1" ht="24.95" customHeight="1" outlineLevel="1" thickBot="1" x14ac:dyDescent="0.3">
      <c r="A36" s="3"/>
      <c r="B36" s="59" t="s">
        <v>99</v>
      </c>
      <c r="C36" s="30" t="s">
        <v>100</v>
      </c>
      <c r="D36" s="51" t="s">
        <v>12</v>
      </c>
      <c r="E36" s="45" t="s">
        <v>18</v>
      </c>
      <c r="F36" s="117">
        <v>46101</v>
      </c>
      <c r="G36" s="117">
        <v>46101</v>
      </c>
      <c r="H36" s="110">
        <v>4</v>
      </c>
      <c r="I36" s="60" t="s">
        <v>96</v>
      </c>
      <c r="J36" s="3"/>
      <c r="K36" s="1"/>
      <c r="L36" s="3"/>
      <c r="M36" s="39"/>
      <c r="N36" s="39"/>
      <c r="O36" s="39"/>
      <c r="P36" s="107"/>
      <c r="Q36" s="107"/>
      <c r="R36" s="3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</row>
    <row r="37" spans="1:242" s="4" customFormat="1" ht="24.95" customHeight="1" thickBot="1" x14ac:dyDescent="0.3">
      <c r="A37" s="3"/>
      <c r="B37" s="89">
        <v>4</v>
      </c>
      <c r="C37" s="90" t="s">
        <v>101</v>
      </c>
      <c r="D37" s="91"/>
      <c r="E37" s="112"/>
      <c r="F37" s="92">
        <v>46104</v>
      </c>
      <c r="G37" s="93">
        <v>46136</v>
      </c>
      <c r="H37" s="115">
        <f>SUM(H38:H48)</f>
        <v>56</v>
      </c>
      <c r="I37" s="90" t="s">
        <v>102</v>
      </c>
      <c r="J37" s="3"/>
      <c r="K37" s="1"/>
      <c r="L37" s="3"/>
      <c r="M37" s="36"/>
      <c r="N37" s="39"/>
      <c r="O37" s="39"/>
      <c r="P37" s="107"/>
      <c r="Q37" s="107"/>
      <c r="R37" s="3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</row>
    <row r="38" spans="1:242" s="4" customFormat="1" ht="24.95" customHeight="1" outlineLevel="1" thickBot="1" x14ac:dyDescent="0.3">
      <c r="A38" s="3"/>
      <c r="B38" s="55" t="s">
        <v>103</v>
      </c>
      <c r="C38" s="28" t="s">
        <v>104</v>
      </c>
      <c r="D38" s="51" t="s">
        <v>12</v>
      </c>
      <c r="E38" s="41" t="s">
        <v>40</v>
      </c>
      <c r="F38" s="48">
        <v>46104</v>
      </c>
      <c r="G38" s="48">
        <v>46105</v>
      </c>
      <c r="H38" s="46">
        <v>3</v>
      </c>
      <c r="I38" s="56" t="s">
        <v>105</v>
      </c>
      <c r="J38" s="3"/>
      <c r="K38" s="1"/>
      <c r="L38" s="3"/>
      <c r="M38" s="39"/>
      <c r="N38" s="39"/>
      <c r="O38" s="39"/>
      <c r="P38" s="107"/>
      <c r="Q38" s="107"/>
      <c r="R38" s="3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</row>
    <row r="39" spans="1:242" s="4" customFormat="1" ht="24.95" customHeight="1" outlineLevel="1" thickBot="1" x14ac:dyDescent="0.3">
      <c r="A39" s="3"/>
      <c r="B39" s="57" t="s">
        <v>106</v>
      </c>
      <c r="C39" s="29" t="s">
        <v>107</v>
      </c>
      <c r="D39" s="51" t="s">
        <v>12</v>
      </c>
      <c r="E39" s="42" t="s">
        <v>40</v>
      </c>
      <c r="F39" s="49">
        <v>46106</v>
      </c>
      <c r="G39" s="49">
        <v>46108</v>
      </c>
      <c r="H39" s="47">
        <v>6</v>
      </c>
      <c r="I39" s="58" t="s">
        <v>108</v>
      </c>
      <c r="J39" s="3"/>
      <c r="K39" s="1"/>
      <c r="L39" s="3"/>
      <c r="M39" s="39"/>
      <c r="N39" s="39"/>
      <c r="O39" s="39"/>
      <c r="P39" s="107"/>
      <c r="Q39" s="107"/>
      <c r="R39" s="3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</row>
    <row r="40" spans="1:242" s="4" customFormat="1" ht="24.95" customHeight="1" outlineLevel="1" thickBot="1" x14ac:dyDescent="0.3">
      <c r="A40" s="3"/>
      <c r="B40" s="57" t="s">
        <v>109</v>
      </c>
      <c r="C40" s="29" t="s">
        <v>110</v>
      </c>
      <c r="D40" s="51" t="s">
        <v>12</v>
      </c>
      <c r="E40" s="42" t="s">
        <v>40</v>
      </c>
      <c r="F40" s="49">
        <v>46109</v>
      </c>
      <c r="G40" s="49">
        <v>46111</v>
      </c>
      <c r="H40" s="47">
        <v>4</v>
      </c>
      <c r="I40" s="58" t="s">
        <v>111</v>
      </c>
      <c r="J40" s="3"/>
      <c r="K40" s="1"/>
      <c r="L40" s="3"/>
      <c r="M40" s="39"/>
      <c r="N40" s="39"/>
      <c r="O40" s="39"/>
      <c r="P40" s="107"/>
      <c r="Q40" s="107"/>
      <c r="R40" s="3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</row>
    <row r="41" spans="1:242" s="4" customFormat="1" ht="24.95" customHeight="1" outlineLevel="1" thickBot="1" x14ac:dyDescent="0.3">
      <c r="A41" s="3"/>
      <c r="B41" s="57" t="s">
        <v>112</v>
      </c>
      <c r="C41" s="29" t="s">
        <v>113</v>
      </c>
      <c r="D41" s="51" t="s">
        <v>12</v>
      </c>
      <c r="E41" s="42" t="s">
        <v>40</v>
      </c>
      <c r="F41" s="49">
        <v>46112</v>
      </c>
      <c r="G41" s="49">
        <v>46114</v>
      </c>
      <c r="H41" s="47">
        <v>4</v>
      </c>
      <c r="I41" s="58" t="s">
        <v>114</v>
      </c>
      <c r="J41" s="3"/>
      <c r="K41" s="1"/>
      <c r="L41" s="3"/>
      <c r="M41" s="39"/>
      <c r="N41" s="39"/>
      <c r="O41" s="39"/>
      <c r="P41" s="107"/>
      <c r="Q41" s="107"/>
      <c r="R41" s="3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</row>
    <row r="42" spans="1:242" s="4" customFormat="1" ht="24.95" customHeight="1" outlineLevel="1" thickBot="1" x14ac:dyDescent="0.3">
      <c r="A42" s="3"/>
      <c r="B42" s="57" t="s">
        <v>115</v>
      </c>
      <c r="C42" s="29" t="s">
        <v>116</v>
      </c>
      <c r="D42" s="51" t="s">
        <v>12</v>
      </c>
      <c r="E42" s="42" t="s">
        <v>36</v>
      </c>
      <c r="F42" s="49">
        <v>46115</v>
      </c>
      <c r="G42" s="49">
        <v>46117</v>
      </c>
      <c r="H42" s="47">
        <v>4</v>
      </c>
      <c r="I42" s="58" t="s">
        <v>117</v>
      </c>
      <c r="J42" s="3"/>
      <c r="K42" s="1"/>
      <c r="L42" s="3"/>
      <c r="M42" s="39"/>
      <c r="N42" s="39"/>
      <c r="O42" s="39"/>
      <c r="P42" s="107"/>
      <c r="Q42" s="107"/>
      <c r="R42" s="3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</row>
    <row r="43" spans="1:242" s="4" customFormat="1" ht="24.95" customHeight="1" outlineLevel="1" thickBot="1" x14ac:dyDescent="0.3">
      <c r="A43" s="3"/>
      <c r="B43" s="57" t="s">
        <v>118</v>
      </c>
      <c r="C43" s="29" t="s">
        <v>119</v>
      </c>
      <c r="D43" s="51" t="s">
        <v>12</v>
      </c>
      <c r="E43" s="42" t="s">
        <v>40</v>
      </c>
      <c r="F43" s="49">
        <v>46118</v>
      </c>
      <c r="G43" s="49">
        <v>46122</v>
      </c>
      <c r="H43" s="47">
        <v>8</v>
      </c>
      <c r="I43" s="58" t="s">
        <v>120</v>
      </c>
      <c r="J43" s="3"/>
      <c r="K43" s="1"/>
      <c r="L43" s="3"/>
      <c r="M43" s="39"/>
      <c r="N43" s="39"/>
      <c r="O43" s="39"/>
      <c r="P43" s="107"/>
      <c r="Q43" s="107"/>
      <c r="R43" s="3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</row>
    <row r="44" spans="1:242" s="4" customFormat="1" ht="24.95" customHeight="1" outlineLevel="1" thickBot="1" x14ac:dyDescent="0.3">
      <c r="A44" s="3"/>
      <c r="B44" s="57" t="s">
        <v>121</v>
      </c>
      <c r="C44" s="29" t="s">
        <v>122</v>
      </c>
      <c r="D44" s="31" t="s">
        <v>12</v>
      </c>
      <c r="E44" s="42" t="s">
        <v>40</v>
      </c>
      <c r="F44" s="49">
        <v>46123</v>
      </c>
      <c r="G44" s="49">
        <v>46126</v>
      </c>
      <c r="H44" s="47">
        <v>7</v>
      </c>
      <c r="I44" s="58" t="s">
        <v>123</v>
      </c>
      <c r="J44" s="3"/>
      <c r="K44" s="1"/>
      <c r="L44" s="3"/>
      <c r="M44" s="39"/>
      <c r="N44" s="39"/>
      <c r="O44" s="39"/>
      <c r="P44" s="107"/>
      <c r="Q44" s="107"/>
      <c r="R44" s="3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</row>
    <row r="45" spans="1:242" s="4" customFormat="1" ht="24.75" customHeight="1" outlineLevel="1" thickBot="1" x14ac:dyDescent="0.3">
      <c r="A45" s="3"/>
      <c r="B45" s="57" t="s">
        <v>124</v>
      </c>
      <c r="C45" s="29" t="s">
        <v>125</v>
      </c>
      <c r="D45" s="31" t="s">
        <v>12</v>
      </c>
      <c r="E45" s="42" t="s">
        <v>40</v>
      </c>
      <c r="F45" s="49">
        <v>46127</v>
      </c>
      <c r="G45" s="49">
        <v>46130</v>
      </c>
      <c r="H45" s="47">
        <v>7</v>
      </c>
      <c r="I45" s="58" t="s">
        <v>126</v>
      </c>
      <c r="J45" s="3"/>
      <c r="K45" s="1"/>
      <c r="L45" s="3"/>
      <c r="M45" s="39"/>
      <c r="N45" s="39"/>
      <c r="O45" s="39"/>
      <c r="P45" s="107"/>
      <c r="Q45" s="107"/>
      <c r="R45" s="3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</row>
    <row r="46" spans="1:242" s="4" customFormat="1" ht="24.95" customHeight="1" outlineLevel="1" thickBot="1" x14ac:dyDescent="0.3">
      <c r="A46" s="3"/>
      <c r="B46" s="57" t="s">
        <v>127</v>
      </c>
      <c r="C46" s="29" t="s">
        <v>128</v>
      </c>
      <c r="D46" s="31" t="s">
        <v>12</v>
      </c>
      <c r="E46" s="42" t="s">
        <v>40</v>
      </c>
      <c r="F46" s="49">
        <v>46131</v>
      </c>
      <c r="G46" s="49">
        <v>46133</v>
      </c>
      <c r="H46" s="47">
        <v>6</v>
      </c>
      <c r="I46" s="58" t="s">
        <v>129</v>
      </c>
      <c r="J46" s="3"/>
      <c r="K46" s="1"/>
      <c r="L46" s="3"/>
      <c r="M46" s="39"/>
      <c r="N46" s="39"/>
      <c r="O46" s="39"/>
      <c r="P46" s="107"/>
      <c r="Q46" s="107"/>
      <c r="R46" s="3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</row>
    <row r="47" spans="1:242" s="4" customFormat="1" ht="24.95" customHeight="1" outlineLevel="1" thickBot="1" x14ac:dyDescent="0.3">
      <c r="A47" s="3"/>
      <c r="B47" s="57" t="s">
        <v>130</v>
      </c>
      <c r="C47" s="29" t="s">
        <v>131</v>
      </c>
      <c r="D47" s="31" t="s">
        <v>12</v>
      </c>
      <c r="E47" s="42" t="s">
        <v>40</v>
      </c>
      <c r="F47" s="49">
        <v>46134</v>
      </c>
      <c r="G47" s="49">
        <v>46135</v>
      </c>
      <c r="H47" s="47">
        <v>4</v>
      </c>
      <c r="I47" s="58" t="s">
        <v>132</v>
      </c>
      <c r="J47" s="3"/>
      <c r="K47" s="1"/>
      <c r="L47" s="3"/>
      <c r="M47" s="39"/>
      <c r="N47" s="39"/>
      <c r="O47" s="39"/>
      <c r="P47" s="107"/>
      <c r="Q47" s="107"/>
      <c r="R47" s="3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</row>
    <row r="48" spans="1:242" s="4" customFormat="1" ht="24.95" customHeight="1" outlineLevel="1" thickBot="1" x14ac:dyDescent="0.3">
      <c r="A48" s="3"/>
      <c r="B48" s="59" t="s">
        <v>133</v>
      </c>
      <c r="C48" s="30" t="s">
        <v>134</v>
      </c>
      <c r="D48" s="31" t="s">
        <v>12</v>
      </c>
      <c r="E48" s="43" t="s">
        <v>18</v>
      </c>
      <c r="F48" s="52">
        <v>46104</v>
      </c>
      <c r="G48" s="52">
        <v>46136</v>
      </c>
      <c r="H48" s="53">
        <v>3</v>
      </c>
      <c r="I48" s="60" t="s">
        <v>135</v>
      </c>
      <c r="J48" s="3"/>
      <c r="K48" s="1"/>
      <c r="L48" s="3"/>
      <c r="M48" s="39"/>
      <c r="N48" s="39"/>
      <c r="O48" s="39"/>
      <c r="P48" s="107"/>
      <c r="Q48" s="107"/>
      <c r="R48" s="3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</row>
    <row r="49" spans="1:250" s="4" customFormat="1" ht="24.95" customHeight="1" thickBot="1" x14ac:dyDescent="0.3">
      <c r="A49" s="3"/>
      <c r="B49" s="94">
        <v>5</v>
      </c>
      <c r="C49" s="95" t="s">
        <v>136</v>
      </c>
      <c r="D49" s="31" t="s">
        <v>12</v>
      </c>
      <c r="E49" s="96"/>
      <c r="F49" s="97">
        <v>46139</v>
      </c>
      <c r="G49" s="98">
        <v>46157</v>
      </c>
      <c r="H49" s="99">
        <f>SUM(H50:H55)</f>
        <v>20</v>
      </c>
      <c r="I49" s="95" t="s">
        <v>137</v>
      </c>
      <c r="J49" s="3"/>
      <c r="K49" s="1"/>
      <c r="L49" s="3"/>
      <c r="M49" s="36"/>
      <c r="N49" s="39"/>
      <c r="O49" s="39"/>
      <c r="P49" s="107"/>
      <c r="Q49" s="107"/>
      <c r="R49" s="3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</row>
    <row r="50" spans="1:250" s="4" customFormat="1" ht="24.95" customHeight="1" outlineLevel="1" thickBot="1" x14ac:dyDescent="0.3">
      <c r="A50" s="3"/>
      <c r="B50" s="55" t="s">
        <v>138</v>
      </c>
      <c r="C50" s="28" t="s">
        <v>139</v>
      </c>
      <c r="D50" s="31" t="s">
        <v>12</v>
      </c>
      <c r="E50" s="41" t="s">
        <v>63</v>
      </c>
      <c r="F50" s="48">
        <v>46139</v>
      </c>
      <c r="G50" s="48">
        <v>46140</v>
      </c>
      <c r="H50" s="46">
        <v>3</v>
      </c>
      <c r="I50" s="56" t="s">
        <v>140</v>
      </c>
      <c r="J50" s="3"/>
      <c r="K50" s="1"/>
      <c r="L50" s="3"/>
      <c r="M50" s="39"/>
      <c r="N50" s="39"/>
      <c r="O50" s="39"/>
      <c r="P50" s="107"/>
      <c r="Q50" s="107"/>
      <c r="R50" s="3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</row>
    <row r="51" spans="1:250" s="4" customFormat="1" ht="24.95" customHeight="1" outlineLevel="1" thickBot="1" x14ac:dyDescent="0.3">
      <c r="A51" s="3"/>
      <c r="B51" s="57" t="s">
        <v>141</v>
      </c>
      <c r="C51" s="29" t="s">
        <v>142</v>
      </c>
      <c r="D51" s="31" t="s">
        <v>12</v>
      </c>
      <c r="E51" s="42" t="s">
        <v>63</v>
      </c>
      <c r="F51" s="49">
        <v>46141</v>
      </c>
      <c r="G51" s="49">
        <v>46142</v>
      </c>
      <c r="H51" s="47">
        <v>3</v>
      </c>
      <c r="I51" s="58" t="s">
        <v>143</v>
      </c>
      <c r="J51" s="3"/>
      <c r="K51" s="1"/>
      <c r="L51" s="3"/>
      <c r="M51" s="39"/>
      <c r="N51" s="39"/>
      <c r="O51" s="39"/>
      <c r="P51" s="107"/>
      <c r="Q51" s="107"/>
      <c r="R51" s="3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</row>
    <row r="52" spans="1:250" s="4" customFormat="1" ht="24.95" customHeight="1" outlineLevel="1" thickBot="1" x14ac:dyDescent="0.3">
      <c r="A52" s="3"/>
      <c r="B52" s="57" t="s">
        <v>144</v>
      </c>
      <c r="C52" s="29" t="s">
        <v>145</v>
      </c>
      <c r="D52" s="31" t="s">
        <v>13</v>
      </c>
      <c r="E52" s="42" t="s">
        <v>63</v>
      </c>
      <c r="F52" s="49">
        <v>46143</v>
      </c>
      <c r="G52" s="49">
        <v>46146</v>
      </c>
      <c r="H52" s="47">
        <v>3</v>
      </c>
      <c r="I52" s="58" t="s">
        <v>143</v>
      </c>
      <c r="J52" s="3"/>
      <c r="K52" s="1"/>
      <c r="L52" s="3"/>
      <c r="M52" s="39"/>
      <c r="N52" s="39"/>
      <c r="O52" s="39"/>
      <c r="P52" s="107"/>
      <c r="Q52" s="107"/>
      <c r="R52" s="3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</row>
    <row r="53" spans="1:250" s="4" customFormat="1" ht="24.95" customHeight="1" outlineLevel="1" thickBot="1" x14ac:dyDescent="0.3">
      <c r="A53" s="3"/>
      <c r="B53" s="57" t="s">
        <v>146</v>
      </c>
      <c r="C53" s="29" t="s">
        <v>147</v>
      </c>
      <c r="D53" s="31" t="s">
        <v>14</v>
      </c>
      <c r="E53" s="42" t="s">
        <v>63</v>
      </c>
      <c r="F53" s="49">
        <v>46147</v>
      </c>
      <c r="G53" s="49">
        <v>46148</v>
      </c>
      <c r="H53" s="47">
        <v>3</v>
      </c>
      <c r="I53" s="58" t="s">
        <v>143</v>
      </c>
      <c r="J53" s="3"/>
      <c r="K53" s="1"/>
      <c r="L53" s="3"/>
      <c r="M53" s="39"/>
      <c r="N53" s="39"/>
      <c r="O53" s="39"/>
      <c r="P53" s="107"/>
      <c r="Q53" s="107"/>
      <c r="R53" s="3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</row>
    <row r="54" spans="1:250" s="4" customFormat="1" ht="24.95" customHeight="1" outlineLevel="1" thickBot="1" x14ac:dyDescent="0.3">
      <c r="A54" s="3"/>
      <c r="B54" s="57" t="s">
        <v>148</v>
      </c>
      <c r="C54" s="29" t="s">
        <v>149</v>
      </c>
      <c r="D54" s="31" t="s">
        <v>14</v>
      </c>
      <c r="E54" s="42" t="s">
        <v>63</v>
      </c>
      <c r="F54" s="49">
        <v>46149</v>
      </c>
      <c r="G54" s="49">
        <v>46150</v>
      </c>
      <c r="H54" s="47">
        <v>3</v>
      </c>
      <c r="I54" s="58" t="s">
        <v>143</v>
      </c>
      <c r="J54" s="3"/>
      <c r="K54" s="1"/>
      <c r="L54" s="3"/>
      <c r="M54" s="39"/>
      <c r="N54" s="39"/>
      <c r="O54" s="39"/>
      <c r="P54" s="107"/>
      <c r="Q54" s="107"/>
      <c r="R54" s="3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</row>
    <row r="55" spans="1:250" s="4" customFormat="1" ht="24.95" customHeight="1" outlineLevel="1" thickBot="1" x14ac:dyDescent="0.3">
      <c r="A55" s="3"/>
      <c r="B55" s="59" t="s">
        <v>150</v>
      </c>
      <c r="C55" s="30" t="s">
        <v>151</v>
      </c>
      <c r="D55" s="51" t="s">
        <v>14</v>
      </c>
      <c r="E55" s="43" t="s">
        <v>36</v>
      </c>
      <c r="F55" s="52">
        <v>46153</v>
      </c>
      <c r="G55" s="52">
        <v>46157</v>
      </c>
      <c r="H55" s="53">
        <v>5</v>
      </c>
      <c r="I55" s="60" t="s">
        <v>152</v>
      </c>
      <c r="J55" s="3"/>
      <c r="K55" s="1"/>
      <c r="L55" s="3"/>
      <c r="M55" s="39"/>
      <c r="N55" s="39"/>
      <c r="O55" s="39"/>
      <c r="P55" s="107"/>
      <c r="Q55" s="107"/>
      <c r="R55" s="3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</row>
    <row r="56" spans="1:250" s="4" customFormat="1" ht="24.95" customHeight="1" thickBot="1" x14ac:dyDescent="0.3">
      <c r="A56" s="3"/>
      <c r="B56" s="106">
        <v>6</v>
      </c>
      <c r="C56" s="100" t="s">
        <v>153</v>
      </c>
      <c r="D56" s="105"/>
      <c r="E56" s="104"/>
      <c r="F56" s="103">
        <v>46160</v>
      </c>
      <c r="G56" s="102">
        <v>46178</v>
      </c>
      <c r="H56" s="101">
        <f>SUM(H57:H61)</f>
        <v>18</v>
      </c>
      <c r="I56" s="100" t="s">
        <v>154</v>
      </c>
      <c r="J56" s="3"/>
      <c r="K56" s="1"/>
      <c r="L56" s="36"/>
      <c r="M56" s="36"/>
      <c r="N56" s="39"/>
      <c r="O56" s="39"/>
      <c r="P56" s="107"/>
      <c r="Q56" s="107"/>
      <c r="R56" s="3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</row>
    <row r="57" spans="1:250" s="4" customFormat="1" ht="24.95" customHeight="1" outlineLevel="1" thickBot="1" x14ac:dyDescent="0.3">
      <c r="A57" s="3"/>
      <c r="B57" s="55" t="s">
        <v>155</v>
      </c>
      <c r="C57" s="28" t="s">
        <v>156</v>
      </c>
      <c r="D57" s="50" t="s">
        <v>14</v>
      </c>
      <c r="E57" s="41" t="s">
        <v>25</v>
      </c>
      <c r="F57" s="48">
        <v>46160</v>
      </c>
      <c r="G57" s="48">
        <v>46161</v>
      </c>
      <c r="H57" s="46">
        <v>3</v>
      </c>
      <c r="I57" s="56" t="s">
        <v>157</v>
      </c>
      <c r="J57" s="3"/>
      <c r="K57" s="1"/>
      <c r="L57" s="39"/>
      <c r="M57" s="39"/>
      <c r="N57" s="39"/>
      <c r="O57" s="39"/>
      <c r="P57" s="107"/>
      <c r="Q57" s="107"/>
      <c r="R57" s="3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</row>
    <row r="58" spans="1:250" s="4" customFormat="1" ht="24.95" customHeight="1" outlineLevel="1" thickBot="1" x14ac:dyDescent="0.3">
      <c r="A58" s="3"/>
      <c r="B58" s="57" t="s">
        <v>158</v>
      </c>
      <c r="C58" s="29" t="s">
        <v>159</v>
      </c>
      <c r="D58" s="31" t="s">
        <v>14</v>
      </c>
      <c r="E58" s="42" t="s">
        <v>18</v>
      </c>
      <c r="F58" s="49">
        <v>46162</v>
      </c>
      <c r="G58" s="49">
        <v>46164</v>
      </c>
      <c r="H58" s="47">
        <v>5</v>
      </c>
      <c r="I58" s="58" t="s">
        <v>160</v>
      </c>
      <c r="J58" s="3"/>
      <c r="K58" s="1"/>
      <c r="L58" s="39"/>
      <c r="M58" s="39"/>
      <c r="N58" s="39"/>
      <c r="O58" s="39"/>
      <c r="P58" s="107"/>
      <c r="Q58" s="107"/>
      <c r="R58" s="3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</row>
    <row r="59" spans="1:250" s="4" customFormat="1" ht="24.95" customHeight="1" outlineLevel="1" thickBot="1" x14ac:dyDescent="0.3">
      <c r="A59" s="3"/>
      <c r="B59" s="57" t="s">
        <v>161</v>
      </c>
      <c r="C59" s="29" t="s">
        <v>162</v>
      </c>
      <c r="D59" s="31" t="s">
        <v>14</v>
      </c>
      <c r="E59" s="42" t="s">
        <v>18</v>
      </c>
      <c r="F59" s="49">
        <v>46167</v>
      </c>
      <c r="G59" s="49">
        <v>46169</v>
      </c>
      <c r="H59" s="47">
        <v>4</v>
      </c>
      <c r="I59" s="58" t="s">
        <v>163</v>
      </c>
      <c r="J59" s="3"/>
      <c r="K59" s="1"/>
      <c r="L59" s="39"/>
      <c r="M59" s="39"/>
      <c r="N59" s="39"/>
      <c r="O59" s="39"/>
      <c r="P59" s="107"/>
      <c r="Q59" s="107"/>
      <c r="R59" s="3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</row>
    <row r="60" spans="1:250" s="4" customFormat="1" ht="24.95" customHeight="1" outlineLevel="1" thickBot="1" x14ac:dyDescent="0.3">
      <c r="A60" s="3"/>
      <c r="B60" s="57" t="s">
        <v>164</v>
      </c>
      <c r="C60" s="29" t="s">
        <v>165</v>
      </c>
      <c r="D60" s="31" t="s">
        <v>14</v>
      </c>
      <c r="E60" s="42" t="s">
        <v>18</v>
      </c>
      <c r="F60" s="49">
        <v>46170</v>
      </c>
      <c r="G60" s="49">
        <v>46170</v>
      </c>
      <c r="H60" s="47">
        <v>2</v>
      </c>
      <c r="I60" s="58" t="s">
        <v>166</v>
      </c>
      <c r="J60" s="3"/>
      <c r="K60" s="1"/>
      <c r="L60" s="39"/>
      <c r="M60" s="39"/>
      <c r="N60" s="39"/>
      <c r="O60" s="39"/>
      <c r="P60" s="107"/>
      <c r="Q60" s="107"/>
      <c r="R60" s="3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</row>
    <row r="61" spans="1:250" s="4" customFormat="1" ht="24.95" customHeight="1" outlineLevel="1" thickBot="1" x14ac:dyDescent="0.3">
      <c r="A61" s="3"/>
      <c r="B61" s="61" t="s">
        <v>167</v>
      </c>
      <c r="C61" s="62" t="s">
        <v>168</v>
      </c>
      <c r="D61" s="63" t="s">
        <v>14</v>
      </c>
      <c r="E61" s="64" t="s">
        <v>18</v>
      </c>
      <c r="F61" s="65">
        <v>46178</v>
      </c>
      <c r="G61" s="65">
        <v>46178</v>
      </c>
      <c r="H61" s="66">
        <v>4</v>
      </c>
      <c r="I61" s="67" t="s">
        <v>169</v>
      </c>
      <c r="J61" s="3"/>
      <c r="K61" s="1"/>
      <c r="L61" s="39"/>
      <c r="M61" s="39"/>
      <c r="N61" s="40"/>
      <c r="O61" s="40"/>
      <c r="P61" s="37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</row>
    <row r="62" spans="1:250" s="4" customFormat="1" ht="24.95" customHeight="1" outlineLevel="1" x14ac:dyDescent="0.25">
      <c r="A62" s="3"/>
      <c r="B62" s="5"/>
      <c r="C62" s="18"/>
      <c r="D62" s="19"/>
      <c r="E62" s="20"/>
      <c r="F62" s="21"/>
      <c r="G62" s="22"/>
      <c r="H62" s="23"/>
      <c r="I62" s="5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</row>
    <row r="63" spans="1:25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</row>
    <row r="64" spans="1:25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</row>
    <row r="65" spans="1:25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</row>
    <row r="66" spans="1:25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</row>
    <row r="67" spans="1:25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</row>
    <row r="68" spans="1:25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</row>
    <row r="69" spans="1:25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</row>
    <row r="70" spans="1:25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</row>
    <row r="71" spans="1:25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</row>
    <row r="72" spans="1:25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</row>
    <row r="73" spans="1:25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</row>
    <row r="74" spans="1:25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</row>
    <row r="75" spans="1:25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</row>
    <row r="76" spans="1:25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</row>
    <row r="77" spans="1:25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</row>
    <row r="78" spans="1:25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</row>
    <row r="79" spans="1:25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</row>
    <row r="80" spans="1:25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5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5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5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5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5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5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5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5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5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5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5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</row>
    <row r="396" spans="1:25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</row>
    <row r="397" spans="1:25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</row>
    <row r="398" spans="1:25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</row>
    <row r="399" spans="1:25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</row>
    <row r="400" spans="1:25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  <row r="1085" spans="1:282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</row>
    <row r="1086" spans="1:282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</row>
    <row r="1087" spans="1:282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</row>
    <row r="1088" spans="1:282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</row>
    <row r="1089" spans="1:282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</row>
    <row r="1090" spans="1:282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</row>
    <row r="1091" spans="1:282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</row>
    <row r="1092" spans="1:282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</row>
    <row r="1093" spans="1:282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</row>
    <row r="1094" spans="1:282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</row>
    <row r="1095" spans="1:282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</row>
    <row r="1096" spans="1:282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</row>
    <row r="1097" spans="1:282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</row>
    <row r="1098" spans="1:282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</row>
    <row r="1099" spans="1:282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</row>
    <row r="1100" spans="1:282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</row>
    <row r="1101" spans="1:282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</row>
    <row r="1102" spans="1:282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</row>
    <row r="1103" spans="1:282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</row>
    <row r="1104" spans="1:282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</row>
    <row r="1105" spans="1:282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</row>
  </sheetData>
  <phoneticPr fontId="3" type="noConversion"/>
  <conditionalFormatting sqref="D37 D8:D28 D44:D62">
    <cfRule type="containsText" dxfId="35" priority="89" operator="containsText" text="On Hold">
      <formula>NOT(ISERROR(SEARCH("On Hold",D8)))</formula>
    </cfRule>
    <cfRule type="containsText" dxfId="34" priority="90" operator="containsText" text="Complete">
      <formula>NOT(ISERROR(SEARCH("Complete",D8)))</formula>
    </cfRule>
    <cfRule type="containsText" dxfId="33" priority="91" operator="containsText" text="In Progress">
      <formula>NOT(ISERROR(SEARCH("In Progress",D8)))</formula>
    </cfRule>
    <cfRule type="containsText" dxfId="32" priority="92" operator="containsText" text="Not Started">
      <formula>NOT(ISERROR(SEARCH("Not Started",D8)))</formula>
    </cfRule>
  </conditionalFormatting>
  <conditionalFormatting sqref="D9:D19">
    <cfRule type="cellIs" dxfId="31" priority="85" operator="equal">
      <formula>"En Espera"</formula>
    </cfRule>
    <cfRule type="cellIs" dxfId="30" priority="86" operator="equal">
      <formula>"En Progreso"</formula>
    </cfRule>
    <cfRule type="cellIs" dxfId="29" priority="87" operator="equal">
      <formula>"No Iniciado"</formula>
    </cfRule>
    <cfRule type="cellIs" dxfId="28" priority="88" operator="equal">
      <formula>"Completo"</formula>
    </cfRule>
  </conditionalFormatting>
  <conditionalFormatting sqref="D21:D27">
    <cfRule type="cellIs" dxfId="27" priority="81" operator="equal">
      <formula>"En Espera"</formula>
    </cfRule>
    <cfRule type="cellIs" dxfId="26" priority="82" operator="equal">
      <formula>"En Progreso"</formula>
    </cfRule>
    <cfRule type="cellIs" dxfId="25" priority="83" operator="equal">
      <formula>"No Iniciado"</formula>
    </cfRule>
    <cfRule type="cellIs" dxfId="24" priority="84" operator="equal">
      <formula>"Completo"</formula>
    </cfRule>
  </conditionalFormatting>
  <conditionalFormatting sqref="D57:D62 D44:D55">
    <cfRule type="cellIs" dxfId="23" priority="73" operator="equal">
      <formula>"En Espera"</formula>
    </cfRule>
    <cfRule type="cellIs" dxfId="22" priority="74" operator="equal">
      <formula>"En Progreso"</formula>
    </cfRule>
    <cfRule type="cellIs" dxfId="21" priority="75" operator="equal">
      <formula>"No Iniciado"</formula>
    </cfRule>
    <cfRule type="cellIs" dxfId="20" priority="76" operator="equal">
      <formula>"Completo"</formula>
    </cfRule>
  </conditionalFormatting>
  <conditionalFormatting sqref="K8:K11">
    <cfRule type="containsText" dxfId="19" priority="101" stopIfTrue="1" operator="containsText" text="On Hold">
      <formula>NOT(ISERROR(SEARCH("On Hold",K8)))</formula>
    </cfRule>
    <cfRule type="containsText" dxfId="18" priority="102" operator="containsText" text="Complete">
      <formula>NOT(ISERROR(SEARCH("Complete",K8)))</formula>
    </cfRule>
    <cfRule type="containsText" dxfId="17" priority="103" operator="containsText" text="In Progress">
      <formula>NOT(ISERROR(SEARCH("In Progress",K8)))</formula>
    </cfRule>
    <cfRule type="containsText" dxfId="16" priority="104" operator="containsText" text="Not Started">
      <formula>NOT(ISERROR(SEARCH("Not Started",K8)))</formula>
    </cfRule>
  </conditionalFormatting>
  <conditionalFormatting sqref="D29:D36">
    <cfRule type="containsText" dxfId="15" priority="13" operator="containsText" text="On Hold">
      <formula>NOT(ISERROR(SEARCH("On Hold",D29)))</formula>
    </cfRule>
    <cfRule type="containsText" dxfId="14" priority="14" operator="containsText" text="Complete">
      <formula>NOT(ISERROR(SEARCH("Complete",D29)))</formula>
    </cfRule>
    <cfRule type="containsText" dxfId="13" priority="15" operator="containsText" text="In Progress">
      <formula>NOT(ISERROR(SEARCH("In Progress",D29)))</formula>
    </cfRule>
    <cfRule type="containsText" dxfId="12" priority="16" operator="containsText" text="Not Started">
      <formula>NOT(ISERROR(SEARCH("Not Started",D29)))</formula>
    </cfRule>
  </conditionalFormatting>
  <conditionalFormatting sqref="D29:D36">
    <cfRule type="cellIs" dxfId="11" priority="9" operator="equal">
      <formula>"En Espera"</formula>
    </cfRule>
    <cfRule type="cellIs" dxfId="10" priority="10" operator="equal">
      <formula>"En Progreso"</formula>
    </cfRule>
    <cfRule type="cellIs" dxfId="9" priority="11" operator="equal">
      <formula>"No Iniciado"</formula>
    </cfRule>
    <cfRule type="cellIs" dxfId="8" priority="12" operator="equal">
      <formula>"Completo"</formula>
    </cfRule>
  </conditionalFormatting>
  <conditionalFormatting sqref="D38:D43">
    <cfRule type="containsText" dxfId="7" priority="5" operator="containsText" text="On Hold">
      <formula>NOT(ISERROR(SEARCH("On Hold",D38)))</formula>
    </cfRule>
    <cfRule type="containsText" dxfId="6" priority="6" operator="containsText" text="Complete">
      <formula>NOT(ISERROR(SEARCH("Complete",D38)))</formula>
    </cfRule>
    <cfRule type="containsText" dxfId="5" priority="7" operator="containsText" text="In Progress">
      <formula>NOT(ISERROR(SEARCH("In Progress",D38)))</formula>
    </cfRule>
    <cfRule type="containsText" dxfId="4" priority="8" operator="containsText" text="Not Started">
      <formula>NOT(ISERROR(SEARCH("Not Started",D38)))</formula>
    </cfRule>
  </conditionalFormatting>
  <conditionalFormatting sqref="D38:D43">
    <cfRule type="cellIs" dxfId="3" priority="1" operator="equal">
      <formula>"En Espera"</formula>
    </cfRule>
    <cfRule type="cellIs" dxfId="2" priority="2" operator="equal">
      <formula>"En Progreso"</formula>
    </cfRule>
    <cfRule type="cellIs" dxfId="1" priority="3" operator="equal">
      <formula>"No Iniciado"</formula>
    </cfRule>
    <cfRule type="cellIs" dxfId="0" priority="4" operator="equal">
      <formula>"Completo"</formula>
    </cfRule>
  </conditionalFormatting>
  <dataValidations count="1">
    <dataValidation type="list" allowBlank="1" showInputMessage="1" showErrorMessage="1" sqref="D8:D62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Example - Project Plan Template</vt:lpstr>
      <vt:lpstr>'Example - Project Plan Template'!Área_de_impresión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IVAN FELIPE BAQUERO MORALES</cp:lastModifiedBy>
  <dcterms:created xsi:type="dcterms:W3CDTF">2015-02-24T20:54:23Z</dcterms:created>
  <dcterms:modified xsi:type="dcterms:W3CDTF">2026-05-01T19:05:48Z</dcterms:modified>
</cp:coreProperties>
</file>